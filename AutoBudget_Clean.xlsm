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vertex42_logo0.png" ContentType="image/.png"/>
  <Override PartName="/customUI/images/vertex42_logo.png" ContentType="image/.png"/>
  <Override PartName="/customUI/images/personal-monthly-budget_180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953a91e1d294b72" Type="http://schemas.microsoft.com/office/2006/relationships/ui/extensibility" Target="customUI/customUI.xml"/><Relationship Id="R47968f6ed1a44332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ropbox\Finance\"/>
    </mc:Choice>
  </mc:AlternateContent>
  <xr:revisionPtr revIDLastSave="0" documentId="13_ncr:1_{46831EC6-DAE6-4E2E-B852-34C63CB58CC2}" xr6:coauthVersionLast="47" xr6:coauthVersionMax="47" xr10:uidLastSave="{00000000-0000-0000-0000-000000000000}"/>
  <bookViews>
    <workbookView xWindow="12285" yWindow="990" windowWidth="33345" windowHeight="18630" xr2:uid="{00000000-000D-0000-FFFF-FFFF00000000}"/>
  </bookViews>
  <sheets>
    <sheet name="2023" sheetId="11" r:id="rId1"/>
    <sheet name="Log" sheetId="8" r:id="rId2"/>
    <sheet name="Help" sheetId="2" r:id="rId3"/>
    <sheet name="Master Blank" sheetId="12" r:id="rId4"/>
  </sheets>
  <definedNames>
    <definedName name="valuevx">42.314159</definedName>
    <definedName name="vertex42_copyright" hidden="1">"© 2008-2014 Vertex42 LLC"</definedName>
    <definedName name="vertex42_id" hidden="1">"personal-monthly-budget.xlsx"</definedName>
    <definedName name="vertex42_title" hidden="1">"Personal Monthly Budget"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10" i="12" l="1"/>
  <c r="L110" i="12"/>
  <c r="K110" i="12"/>
  <c r="J110" i="12"/>
  <c r="I110" i="12"/>
  <c r="H110" i="12"/>
  <c r="G110" i="12"/>
  <c r="F110" i="12"/>
  <c r="E110" i="12"/>
  <c r="D110" i="12"/>
  <c r="C110" i="12"/>
  <c r="B110" i="12"/>
  <c r="O110" i="12" s="1"/>
  <c r="A110" i="12"/>
  <c r="O109" i="12"/>
  <c r="O108" i="12"/>
  <c r="M105" i="12"/>
  <c r="L105" i="12"/>
  <c r="K105" i="12"/>
  <c r="J105" i="12"/>
  <c r="I105" i="12"/>
  <c r="H105" i="12"/>
  <c r="G105" i="12"/>
  <c r="F105" i="12"/>
  <c r="E105" i="12"/>
  <c r="D105" i="12"/>
  <c r="C105" i="12"/>
  <c r="B105" i="12"/>
  <c r="O105" i="12" s="1"/>
  <c r="A105" i="12"/>
  <c r="O104" i="12"/>
  <c r="O103" i="12"/>
  <c r="O102" i="12"/>
  <c r="O101" i="12"/>
  <c r="O100" i="12"/>
  <c r="O99" i="12"/>
  <c r="M96" i="12"/>
  <c r="L96" i="12"/>
  <c r="K96" i="12"/>
  <c r="J96" i="12"/>
  <c r="I96" i="12"/>
  <c r="H96" i="12"/>
  <c r="G96" i="12"/>
  <c r="F96" i="12"/>
  <c r="E96" i="12"/>
  <c r="D96" i="12"/>
  <c r="C96" i="12"/>
  <c r="B96" i="12"/>
  <c r="O96" i="12" s="1"/>
  <c r="A96" i="12"/>
  <c r="O95" i="12"/>
  <c r="O94" i="12"/>
  <c r="O93" i="12"/>
  <c r="O92" i="12"/>
  <c r="M89" i="12"/>
  <c r="L89" i="12"/>
  <c r="K89" i="12"/>
  <c r="J89" i="12"/>
  <c r="I89" i="12"/>
  <c r="H89" i="12"/>
  <c r="G89" i="12"/>
  <c r="F89" i="12"/>
  <c r="E89" i="12"/>
  <c r="D89" i="12"/>
  <c r="C89" i="12"/>
  <c r="B89" i="12"/>
  <c r="O89" i="12" s="1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M73" i="12"/>
  <c r="L73" i="12"/>
  <c r="K73" i="12"/>
  <c r="J73" i="12"/>
  <c r="I73" i="12"/>
  <c r="H73" i="12"/>
  <c r="G73" i="12"/>
  <c r="F73" i="12"/>
  <c r="E73" i="12"/>
  <c r="D73" i="12"/>
  <c r="C73" i="12"/>
  <c r="B73" i="12"/>
  <c r="O73" i="12" s="1"/>
  <c r="A73" i="12"/>
  <c r="O72" i="12"/>
  <c r="O71" i="12"/>
  <c r="O70" i="12"/>
  <c r="O69" i="12"/>
  <c r="O68" i="12"/>
  <c r="O67" i="12"/>
  <c r="O66" i="12"/>
  <c r="O65" i="12"/>
  <c r="O64" i="12"/>
  <c r="O63" i="12"/>
  <c r="M60" i="12"/>
  <c r="L60" i="12"/>
  <c r="K60" i="12"/>
  <c r="J60" i="12"/>
  <c r="I60" i="12"/>
  <c r="H60" i="12"/>
  <c r="G60" i="12"/>
  <c r="F60" i="12"/>
  <c r="E60" i="12"/>
  <c r="E6" i="12" s="1"/>
  <c r="E7" i="12" s="1"/>
  <c r="D60" i="12"/>
  <c r="C60" i="12"/>
  <c r="B60" i="12"/>
  <c r="O60" i="12" s="1"/>
  <c r="A60" i="12"/>
  <c r="O59" i="12"/>
  <c r="O58" i="12"/>
  <c r="O57" i="12"/>
  <c r="M54" i="12"/>
  <c r="L54" i="12"/>
  <c r="K54" i="12"/>
  <c r="J54" i="12"/>
  <c r="I54" i="12"/>
  <c r="H54" i="12"/>
  <c r="G54" i="12"/>
  <c r="F54" i="12"/>
  <c r="E54" i="12"/>
  <c r="D54" i="12"/>
  <c r="C54" i="12"/>
  <c r="B54" i="12"/>
  <c r="O54" i="12" s="1"/>
  <c r="A54" i="12"/>
  <c r="O53" i="12"/>
  <c r="O52" i="12"/>
  <c r="O51" i="12"/>
  <c r="O50" i="12"/>
  <c r="O49" i="12"/>
  <c r="O48" i="12"/>
  <c r="O47" i="12"/>
  <c r="M44" i="12"/>
  <c r="M6" i="12" s="1"/>
  <c r="L44" i="12"/>
  <c r="K44" i="12"/>
  <c r="J44" i="12"/>
  <c r="I44" i="12"/>
  <c r="H44" i="12"/>
  <c r="G44" i="12"/>
  <c r="G6" i="12" s="1"/>
  <c r="F44" i="12"/>
  <c r="E44" i="12"/>
  <c r="D44" i="12"/>
  <c r="C44" i="12"/>
  <c r="B44" i="12"/>
  <c r="O44" i="12" s="1"/>
  <c r="A44" i="12"/>
  <c r="O43" i="12"/>
  <c r="O42" i="12"/>
  <c r="O41" i="12"/>
  <c r="O40" i="12"/>
  <c r="O39" i="12"/>
  <c r="O38" i="12"/>
  <c r="O37" i="12"/>
  <c r="M34" i="12"/>
  <c r="L34" i="12"/>
  <c r="K34" i="12"/>
  <c r="K6" i="12" s="1"/>
  <c r="K7" i="12" s="1"/>
  <c r="J34" i="12"/>
  <c r="J6" i="12" s="1"/>
  <c r="I34" i="12"/>
  <c r="H34" i="12"/>
  <c r="G34" i="12"/>
  <c r="F34" i="12"/>
  <c r="F6" i="12" s="1"/>
  <c r="E34" i="12"/>
  <c r="D34" i="12"/>
  <c r="D6" i="12" s="1"/>
  <c r="C34" i="12"/>
  <c r="B34" i="12"/>
  <c r="A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O18" i="12" s="1"/>
  <c r="A18" i="12"/>
  <c r="O17" i="12"/>
  <c r="O16" i="12"/>
  <c r="O15" i="12"/>
  <c r="O14" i="12"/>
  <c r="O13" i="12"/>
  <c r="O12" i="12"/>
  <c r="O11" i="12"/>
  <c r="C7" i="12"/>
  <c r="L6" i="12"/>
  <c r="L7" i="12" s="1"/>
  <c r="I6" i="12"/>
  <c r="H6" i="12"/>
  <c r="C6" i="12"/>
  <c r="B6" i="12"/>
  <c r="M5" i="12"/>
  <c r="L5" i="12"/>
  <c r="K5" i="12"/>
  <c r="J5" i="12"/>
  <c r="J7" i="12" s="1"/>
  <c r="I5" i="12"/>
  <c r="I7" i="12" s="1"/>
  <c r="H5" i="12"/>
  <c r="H7" i="12" s="1"/>
  <c r="G5" i="12"/>
  <c r="G7" i="12" s="1"/>
  <c r="F5" i="12"/>
  <c r="E5" i="12"/>
  <c r="D5" i="12"/>
  <c r="C5" i="12"/>
  <c r="B5" i="12"/>
  <c r="B7" i="12" s="1"/>
  <c r="E34" i="11"/>
  <c r="E6" i="11" s="1"/>
  <c r="F6" i="11"/>
  <c r="G6" i="11"/>
  <c r="H6" i="11"/>
  <c r="I6" i="11"/>
  <c r="J6" i="11"/>
  <c r="K6" i="11"/>
  <c r="L6" i="11"/>
  <c r="M6" i="11"/>
  <c r="C5" i="11"/>
  <c r="D5" i="11"/>
  <c r="E5" i="11"/>
  <c r="F5" i="11"/>
  <c r="G5" i="11"/>
  <c r="H5" i="11"/>
  <c r="I5" i="11"/>
  <c r="J5" i="11"/>
  <c r="K5" i="11"/>
  <c r="L5" i="11"/>
  <c r="M5" i="11"/>
  <c r="B5" i="11"/>
  <c r="C18" i="11"/>
  <c r="D18" i="11"/>
  <c r="E18" i="11"/>
  <c r="F18" i="11"/>
  <c r="G18" i="11"/>
  <c r="H18" i="11"/>
  <c r="I18" i="11"/>
  <c r="J18" i="11"/>
  <c r="K18" i="11"/>
  <c r="L18" i="11"/>
  <c r="M18" i="11"/>
  <c r="B18" i="11"/>
  <c r="O18" i="11" s="1"/>
  <c r="D73" i="11"/>
  <c r="D34" i="11"/>
  <c r="O103" i="11"/>
  <c r="O17" i="11"/>
  <c r="O92" i="11"/>
  <c r="O65" i="11"/>
  <c r="B73" i="11"/>
  <c r="O21" i="11"/>
  <c r="O76" i="11"/>
  <c r="C54" i="11"/>
  <c r="B54" i="11"/>
  <c r="B44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A110" i="11"/>
  <c r="O109" i="11"/>
  <c r="O108" i="11"/>
  <c r="M105" i="11"/>
  <c r="L105" i="11"/>
  <c r="K105" i="11"/>
  <c r="J105" i="11"/>
  <c r="I105" i="11"/>
  <c r="H105" i="11"/>
  <c r="G105" i="11"/>
  <c r="F105" i="11"/>
  <c r="E105" i="11"/>
  <c r="C105" i="11"/>
  <c r="B105" i="11"/>
  <c r="A105" i="11"/>
  <c r="O104" i="11"/>
  <c r="O102" i="11"/>
  <c r="O101" i="11"/>
  <c r="O100" i="11"/>
  <c r="O99" i="11"/>
  <c r="M96" i="11"/>
  <c r="L96" i="11"/>
  <c r="K96" i="11"/>
  <c r="J96" i="11"/>
  <c r="I96" i="11"/>
  <c r="H96" i="11"/>
  <c r="G96" i="11"/>
  <c r="F96" i="11"/>
  <c r="E96" i="11"/>
  <c r="C96" i="11"/>
  <c r="B96" i="11"/>
  <c r="A96" i="11"/>
  <c r="O95" i="11"/>
  <c r="O94" i="11"/>
  <c r="O93" i="11"/>
  <c r="M89" i="11"/>
  <c r="L89" i="11"/>
  <c r="K89" i="11"/>
  <c r="J89" i="11"/>
  <c r="I89" i="11"/>
  <c r="H89" i="11"/>
  <c r="G89" i="11"/>
  <c r="F89" i="11"/>
  <c r="E89" i="11"/>
  <c r="D89" i="11"/>
  <c r="C89" i="11"/>
  <c r="O88" i="11"/>
  <c r="O87" i="11"/>
  <c r="O86" i="11"/>
  <c r="O85" i="11"/>
  <c r="O84" i="11"/>
  <c r="O83" i="11"/>
  <c r="O82" i="11"/>
  <c r="O81" i="11"/>
  <c r="O80" i="11"/>
  <c r="O79" i="11"/>
  <c r="O78" i="11"/>
  <c r="M73" i="11"/>
  <c r="L73" i="11"/>
  <c r="K73" i="11"/>
  <c r="J73" i="11"/>
  <c r="I73" i="11"/>
  <c r="H73" i="11"/>
  <c r="G73" i="11"/>
  <c r="F73" i="11"/>
  <c r="E73" i="11"/>
  <c r="A73" i="11"/>
  <c r="O72" i="11"/>
  <c r="O70" i="11"/>
  <c r="O67" i="11"/>
  <c r="O66" i="11"/>
  <c r="O64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A60" i="11"/>
  <c r="O59" i="11"/>
  <c r="O58" i="11"/>
  <c r="O57" i="11"/>
  <c r="M54" i="11"/>
  <c r="L54" i="11"/>
  <c r="K54" i="11"/>
  <c r="J54" i="11"/>
  <c r="I54" i="11"/>
  <c r="H54" i="11"/>
  <c r="G54" i="11"/>
  <c r="F54" i="11"/>
  <c r="E54" i="11"/>
  <c r="D54" i="11"/>
  <c r="A54" i="11"/>
  <c r="O53" i="11"/>
  <c r="O52" i="11"/>
  <c r="O51" i="11"/>
  <c r="O49" i="11"/>
  <c r="O48" i="11"/>
  <c r="O47" i="11"/>
  <c r="M44" i="11"/>
  <c r="L44" i="11"/>
  <c r="K44" i="11"/>
  <c r="J44" i="11"/>
  <c r="I44" i="11"/>
  <c r="H44" i="11"/>
  <c r="G44" i="11"/>
  <c r="F44" i="11"/>
  <c r="E44" i="11"/>
  <c r="D44" i="11"/>
  <c r="C44" i="11"/>
  <c r="A44" i="11"/>
  <c r="O43" i="11"/>
  <c r="O41" i="11"/>
  <c r="O40" i="11"/>
  <c r="O39" i="11"/>
  <c r="O38" i="11"/>
  <c r="O37" i="11"/>
  <c r="M34" i="11"/>
  <c r="L34" i="11"/>
  <c r="K34" i="11"/>
  <c r="J34" i="11"/>
  <c r="I34" i="11"/>
  <c r="H34" i="11"/>
  <c r="G34" i="11"/>
  <c r="F34" i="11"/>
  <c r="A34" i="11"/>
  <c r="O33" i="11"/>
  <c r="O32" i="11"/>
  <c r="O30" i="11"/>
  <c r="O27" i="11"/>
  <c r="O25" i="11"/>
  <c r="O24" i="11"/>
  <c r="O22" i="11"/>
  <c r="A18" i="11"/>
  <c r="O15" i="11"/>
  <c r="O14" i="11"/>
  <c r="O13" i="11"/>
  <c r="O12" i="11"/>
  <c r="O11" i="11"/>
  <c r="F7" i="12" l="1"/>
  <c r="O34" i="12"/>
  <c r="M7" i="12"/>
  <c r="O6" i="12"/>
  <c r="F8" i="12"/>
  <c r="E8" i="12"/>
  <c r="D8" i="12"/>
  <c r="J8" i="12"/>
  <c r="C8" i="12"/>
  <c r="O8" i="12"/>
  <c r="B8" i="12"/>
  <c r="D7" i="12"/>
  <c r="M8" i="12" s="1"/>
  <c r="O5" i="12"/>
  <c r="O23" i="11"/>
  <c r="J7" i="11"/>
  <c r="D96" i="11"/>
  <c r="B89" i="11"/>
  <c r="O89" i="11" s="1"/>
  <c r="G7" i="11"/>
  <c r="O42" i="11"/>
  <c r="D105" i="11"/>
  <c r="D6" i="11" s="1"/>
  <c r="D7" i="11" s="1"/>
  <c r="O71" i="11"/>
  <c r="O69" i="11"/>
  <c r="O16" i="11"/>
  <c r="O26" i="11"/>
  <c r="I7" i="11"/>
  <c r="L7" i="11"/>
  <c r="H7" i="11"/>
  <c r="M7" i="11"/>
  <c r="K7" i="11"/>
  <c r="O77" i="11"/>
  <c r="C34" i="11"/>
  <c r="C6" i="11" s="1"/>
  <c r="E7" i="11"/>
  <c r="O110" i="11"/>
  <c r="B34" i="11"/>
  <c r="B6" i="11" s="1"/>
  <c r="B7" i="11" s="1"/>
  <c r="B8" i="11" s="1"/>
  <c r="C73" i="11"/>
  <c r="O73" i="11" s="1"/>
  <c r="O68" i="11"/>
  <c r="O28" i="11"/>
  <c r="O31" i="11"/>
  <c r="O63" i="11"/>
  <c r="O60" i="11"/>
  <c r="O29" i="11"/>
  <c r="O44" i="11"/>
  <c r="O96" i="11"/>
  <c r="O50" i="11"/>
  <c r="O54" i="11"/>
  <c r="F7" i="11"/>
  <c r="O5" i="11"/>
  <c r="H8" i="12" l="1"/>
  <c r="K8" i="12"/>
  <c r="I8" i="12"/>
  <c r="O7" i="12"/>
  <c r="G8" i="12"/>
  <c r="L8" i="12"/>
  <c r="O105" i="11"/>
  <c r="O34" i="11"/>
  <c r="C7" i="11"/>
  <c r="O8" i="11" s="1"/>
  <c r="G8" i="11" l="1"/>
  <c r="H8" i="11"/>
  <c r="J8" i="11"/>
  <c r="F8" i="11"/>
  <c r="D8" i="11"/>
  <c r="O7" i="11"/>
  <c r="E8" i="11"/>
  <c r="O6" i="11"/>
  <c r="M8" i="11"/>
  <c r="C8" i="11"/>
  <c r="L8" i="11"/>
  <c r="I8" i="11"/>
  <c r="K8" i="11"/>
</calcChain>
</file>

<file path=xl/sharedStrings.xml><?xml version="1.0" encoding="utf-8"?>
<sst xmlns="http://schemas.openxmlformats.org/spreadsheetml/2006/main" count="487" uniqueCount="115">
  <si>
    <t>Music</t>
  </si>
  <si>
    <t>INCOME</t>
  </si>
  <si>
    <t>Total Income</t>
  </si>
  <si>
    <t>Total Expenses</t>
  </si>
  <si>
    <t>Interest Income</t>
  </si>
  <si>
    <t>Dividends</t>
  </si>
  <si>
    <t>Clothing</t>
  </si>
  <si>
    <t>Groceries</t>
  </si>
  <si>
    <t>Gifts Given</t>
  </si>
  <si>
    <t>Gifts Received</t>
  </si>
  <si>
    <t>MISCELLANEOUS</t>
  </si>
  <si>
    <t>HOME EXPENSES</t>
  </si>
  <si>
    <t>Electricity</t>
  </si>
  <si>
    <t>Internet</t>
  </si>
  <si>
    <t>Other</t>
  </si>
  <si>
    <t>Improvements</t>
  </si>
  <si>
    <t>Phone</t>
  </si>
  <si>
    <t>TRANSPORTATION</t>
  </si>
  <si>
    <t>Vehicle Payments</t>
  </si>
  <si>
    <t>Fuel</t>
  </si>
  <si>
    <t>HEALTH</t>
  </si>
  <si>
    <t>Doctor/Dentist</t>
  </si>
  <si>
    <t>Medicine/Drugs</t>
  </si>
  <si>
    <t>Health Club Dues</t>
  </si>
  <si>
    <t>ENTERTAINMENT</t>
  </si>
  <si>
    <t>Books</t>
  </si>
  <si>
    <t>Outdoor Recreation</t>
  </si>
  <si>
    <t>Hobbies</t>
  </si>
  <si>
    <t>DAILY LIVING</t>
  </si>
  <si>
    <t>Personal Supplies</t>
  </si>
  <si>
    <t>Charitable Donations</t>
  </si>
  <si>
    <t>Bank Fees</t>
  </si>
  <si>
    <t>Investments</t>
  </si>
  <si>
    <t>SAVINGS</t>
  </si>
  <si>
    <t>Retirement (401k, IRA)</t>
  </si>
  <si>
    <t>OBLIGATIONS</t>
  </si>
  <si>
    <t>Student Loan</t>
  </si>
  <si>
    <t>Other Loan</t>
  </si>
  <si>
    <t>Federal Taxes</t>
  </si>
  <si>
    <t>State/Local Taxes</t>
  </si>
  <si>
    <t>Registration/License</t>
  </si>
  <si>
    <t>Lawn/Garden</t>
  </si>
  <si>
    <t>Furnishings/Appliances</t>
  </si>
  <si>
    <t>Cable/Satellite</t>
  </si>
  <si>
    <t>Water/Sewer/Trash</t>
  </si>
  <si>
    <t>Gas/Oil</t>
  </si>
  <si>
    <t>Mortgage/Rent</t>
  </si>
  <si>
    <t>Dining/Eating Out</t>
  </si>
  <si>
    <t>Salon/Barber</t>
  </si>
  <si>
    <t>Movies/Theater</t>
  </si>
  <si>
    <t>Concerts/Plays</t>
  </si>
  <si>
    <t>Games</t>
  </si>
  <si>
    <t>Toys/Gadgets</t>
  </si>
  <si>
    <t>CHARITY/GIFTS</t>
  </si>
  <si>
    <t>BUDGET SUMMARY</t>
  </si>
  <si>
    <t>HELP</t>
  </si>
  <si>
    <t>Intro</t>
  </si>
  <si>
    <t>Personal Monthly Budget</t>
  </si>
  <si>
    <t>Home/Rental Insurance</t>
  </si>
  <si>
    <t>Maintenance/Supplies</t>
  </si>
  <si>
    <t>Auto Insurance</t>
  </si>
  <si>
    <t>Health Insurance</t>
  </si>
  <si>
    <t>Life Insurance</t>
  </si>
  <si>
    <t>Veterinarian/Pet Care</t>
  </si>
  <si>
    <t>Cleaning</t>
  </si>
  <si>
    <t>Education/Lessons</t>
  </si>
  <si>
    <t>Pet Food</t>
  </si>
  <si>
    <t>Vacation/Travel</t>
  </si>
  <si>
    <t>Education</t>
  </si>
  <si>
    <t>Credit Cards</t>
  </si>
  <si>
    <t>Edit pink cells</t>
  </si>
  <si>
    <t>June</t>
  </si>
  <si>
    <t>July</t>
  </si>
  <si>
    <t>August</t>
  </si>
  <si>
    <t>September</t>
  </si>
  <si>
    <t>October</t>
  </si>
  <si>
    <t>November</t>
  </si>
  <si>
    <t>December</t>
  </si>
  <si>
    <t>Bonus</t>
  </si>
  <si>
    <t>Total ENTERTAINMENT</t>
  </si>
  <si>
    <t>Computer Parts</t>
  </si>
  <si>
    <t>January</t>
  </si>
  <si>
    <t>February</t>
  </si>
  <si>
    <t>March</t>
  </si>
  <si>
    <t>April</t>
  </si>
  <si>
    <t>May</t>
  </si>
  <si>
    <t>Hobby Electronics</t>
  </si>
  <si>
    <t>Bus/Taxi/Train/Flight Fare</t>
  </si>
  <si>
    <t>NET BY MONTH</t>
  </si>
  <si>
    <t>Tax Refund</t>
  </si>
  <si>
    <t>NET SUM YTD</t>
  </si>
  <si>
    <t>Camera</t>
  </si>
  <si>
    <t>Repairs/Oil Chg</t>
  </si>
  <si>
    <t>Drinks/Cafe/Alcohol</t>
  </si>
  <si>
    <t>AVERAGE</t>
  </si>
  <si>
    <t>Wages</t>
  </si>
  <si>
    <t>Troubleshooting</t>
  </si>
  <si>
    <t>Go to Excel File&gt;Options&gt;Proofing, Click "Autocorrect Options", go to the "Autocorrect as you type" tab, and uncheck "Fill formulas in tables to create calculated columns"</t>
  </si>
  <si>
    <t>Entire Columns of the same number keep appearing in my tables!</t>
  </si>
  <si>
    <t>Major Category</t>
  </si>
  <si>
    <t>Minor Category</t>
  </si>
  <si>
    <t>Description</t>
  </si>
  <si>
    <t>Amount</t>
  </si>
  <si>
    <t>Date Added</t>
  </si>
  <si>
    <t>Month</t>
  </si>
  <si>
    <t>Year</t>
  </si>
  <si>
    <t>This budget spreadsheet is meant to help users visualize their income and expenses. It is a work in progress by Scott Prouty.</t>
  </si>
  <si>
    <t>iamdev</t>
  </si>
  <si>
    <t>Password:</t>
  </si>
  <si>
    <t>Entry Log</t>
  </si>
  <si>
    <t xml:space="preserve">Adding new years is acting weird. </t>
  </si>
  <si>
    <t>Make sure there isn't a worksheet called something like "Master Blank (3)" in the workbook.</t>
  </si>
  <si>
    <t>I need to edit the protected "Master Blank" sheet.</t>
  </si>
  <si>
    <t>You can right-click "Master Blank" and choose "Unprotect Sheet…" to enter the password. This worksheet is used as a template to create new worksheets when a new year is chosen in the entry form.</t>
  </si>
  <si>
    <t>***LOG STARTED***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</si>
</sst>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8" x14ac:knownFonts="1">
    <font>
      <sz val="11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Trebuchet MS"/>
      <family val="2"/>
      <scheme val="minor"/>
    </font>
    <font>
      <u/>
      <sz val="8"/>
      <color indexed="12"/>
      <name val="Trebuchet MS"/>
      <family val="2"/>
      <scheme val="minor"/>
    </font>
    <font>
      <sz val="8"/>
      <name val="Trebuchet MS"/>
      <family val="2"/>
      <scheme val="minor"/>
    </font>
    <font>
      <b/>
      <sz val="8"/>
      <name val="Trebuchet MS"/>
      <family val="2"/>
      <scheme val="minor"/>
    </font>
    <font>
      <b/>
      <sz val="10"/>
      <name val="Trebuchet MS"/>
      <family val="2"/>
      <scheme val="minor"/>
    </font>
    <font>
      <b/>
      <sz val="11"/>
      <name val="Trebuchet MS"/>
      <family val="2"/>
      <scheme val="minor"/>
    </font>
    <font>
      <b/>
      <sz val="10"/>
      <name val="Arial"/>
      <family val="2"/>
      <scheme val="major"/>
    </font>
    <font>
      <sz val="9"/>
      <name val="Arial"/>
      <family val="2"/>
      <scheme val="major"/>
    </font>
    <font>
      <b/>
      <sz val="10"/>
      <color theme="0"/>
      <name val="Arial"/>
      <family val="2"/>
      <scheme val="major"/>
    </font>
    <font>
      <sz val="18"/>
      <color theme="4"/>
      <name val="Trebuchet MS"/>
      <family val="2"/>
      <scheme val="minor"/>
    </font>
    <font>
      <sz val="18"/>
      <name val="Arial"/>
      <family val="2"/>
    </font>
    <font>
      <sz val="9"/>
      <color theme="0" tint="-0.499984740745262"/>
      <name val="Arial"/>
      <family val="2"/>
    </font>
    <font>
      <b/>
      <sz val="11"/>
      <name val="Arial"/>
      <family val="2"/>
    </font>
    <font>
      <sz val="11"/>
      <name val="Arial"/>
      <family val="2"/>
      <scheme val="major"/>
    </font>
    <font>
      <sz val="8"/>
      <color rgb="FFFF0000"/>
      <name val="Trebuchet MS"/>
      <family val="2"/>
      <scheme val="minor"/>
    </font>
    <font>
      <b/>
      <sz val="11"/>
      <color rgb="FFFF0000"/>
      <name val="Trebuchet MS"/>
      <family val="2"/>
      <scheme val="minor"/>
    </font>
    <font>
      <b/>
      <sz val="11"/>
      <color theme="6" tint="-0.249977111117893"/>
      <name val="Trebuchet MS"/>
      <family val="2"/>
      <scheme val="minor"/>
    </font>
    <font>
      <sz val="8"/>
      <color theme="6" tint="-0.249977111117893"/>
      <name val="Trebuchet MS"/>
      <family val="2"/>
      <scheme val="minor"/>
    </font>
    <font>
      <b/>
      <sz val="11"/>
      <color theme="1" tint="0.34998626667073579"/>
      <name val="Arial"/>
      <family val="2"/>
    </font>
    <font>
      <sz val="11"/>
      <color theme="1" tint="0.34998626667073579"/>
      <name val="Arial"/>
      <family val="2"/>
      <scheme val="major"/>
    </font>
    <font>
      <sz val="10"/>
      <name val="Trebuchet MS"/>
      <family val="2"/>
    </font>
    <font>
      <b/>
      <sz val="12"/>
      <name val="Calibri"/>
      <family val="2"/>
    </font>
    <font>
      <b/>
      <sz val="14"/>
      <name val="Calibri"/>
      <family val="2"/>
    </font>
    <font>
      <sz val="11"/>
      <color rgb="FF000000"/>
      <name val="Arial"/>
      <family val="2"/>
    </font>
    <font>
      <b/>
      <sz val="14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theme="1"/>
      </patternFill>
    </fill>
    <fill>
      <patternFill patternType="solid">
        <fgColor rgb="FF7030A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/>
      <top style="double">
        <color theme="4"/>
      </top>
      <bottom/>
      <diagonal/>
    </border>
    <border>
      <left/>
      <right style="thin">
        <color indexed="55"/>
      </right>
      <top/>
      <bottom/>
      <diagonal/>
    </border>
    <border>
      <left/>
      <right/>
      <top/>
      <bottom style="medium">
        <color rgb="FF66666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72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 applyAlignment="1">
      <alignment horizontal="right"/>
    </xf>
    <xf numFmtId="0" fontId="7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4" fontId="3" fillId="0" borderId="0" xfId="0" applyNumberFormat="1" applyFont="1"/>
    <xf numFmtId="0" fontId="9" fillId="0" borderId="0" xfId="0" applyFont="1"/>
    <xf numFmtId="0" fontId="3" fillId="0" borderId="0" xfId="0" applyFont="1" applyAlignment="1">
      <alignment horizontal="right" indent="1"/>
    </xf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4" fillId="0" borderId="0" xfId="2" applyFont="1" applyFill="1" applyBorder="1" applyAlignment="1" applyProtection="1">
      <alignment horizontal="left"/>
    </xf>
    <xf numFmtId="0" fontId="4" fillId="0" borderId="0" xfId="2" applyFont="1" applyFill="1" applyBorder="1" applyAlignment="1" applyProtection="1"/>
    <xf numFmtId="0" fontId="12" fillId="0" borderId="0" xfId="0" applyFont="1" applyAlignment="1">
      <alignment vertical="center"/>
    </xf>
    <xf numFmtId="0" fontId="13" fillId="3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0" fillId="0" borderId="0" xfId="0" applyAlignment="1">
      <alignment vertical="top"/>
    </xf>
    <xf numFmtId="0" fontId="8" fillId="0" borderId="0" xfId="0" applyFont="1"/>
    <xf numFmtId="0" fontId="0" fillId="0" borderId="0" xfId="0" applyAlignment="1">
      <alignment vertical="top" wrapText="1"/>
    </xf>
    <xf numFmtId="0" fontId="0" fillId="4" borderId="0" xfId="0" applyFill="1" applyAlignment="1">
      <alignment horizontal="right" vertical="top"/>
    </xf>
    <xf numFmtId="0" fontId="2" fillId="0" borderId="0" xfId="2" applyAlignment="1" applyProtection="1">
      <alignment horizontal="left" vertical="top"/>
    </xf>
    <xf numFmtId="0" fontId="5" fillId="0" borderId="0" xfId="0" applyFont="1" applyAlignment="1">
      <alignment horizontal="right"/>
    </xf>
    <xf numFmtId="4" fontId="3" fillId="5" borderId="1" xfId="1" applyNumberFormat="1" applyFont="1" applyFill="1" applyBorder="1"/>
    <xf numFmtId="4" fontId="3" fillId="5" borderId="2" xfId="1" applyNumberFormat="1" applyFont="1" applyFill="1" applyBorder="1"/>
    <xf numFmtId="4" fontId="3" fillId="5" borderId="3" xfId="1" applyNumberFormat="1" applyFont="1" applyFill="1" applyBorder="1"/>
    <xf numFmtId="0" fontId="3" fillId="0" borderId="5" xfId="0" applyFont="1" applyBorder="1"/>
    <xf numFmtId="4" fontId="3" fillId="0" borderId="4" xfId="0" applyNumberFormat="1" applyFont="1" applyBorder="1"/>
    <xf numFmtId="43" fontId="10" fillId="0" borderId="6" xfId="0" applyNumberFormat="1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44" fontId="16" fillId="0" borderId="0" xfId="0" applyNumberFormat="1" applyFont="1"/>
    <xf numFmtId="0" fontId="18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0" fillId="0" borderId="0" xfId="0" applyFont="1"/>
    <xf numFmtId="0" fontId="21" fillId="0" borderId="7" xfId="0" applyFont="1" applyBorder="1"/>
    <xf numFmtId="44" fontId="22" fillId="0" borderId="8" xfId="0" applyNumberFormat="1" applyFont="1" applyBorder="1"/>
    <xf numFmtId="44" fontId="22" fillId="0" borderId="9" xfId="0" applyNumberFormat="1" applyFont="1" applyBorder="1"/>
    <xf numFmtId="2" fontId="3" fillId="0" borderId="0" xfId="0" applyNumberFormat="1" applyFont="1"/>
    <xf numFmtId="4" fontId="3" fillId="5" borderId="10" xfId="1" applyNumberFormat="1" applyFont="1" applyFill="1" applyBorder="1"/>
    <xf numFmtId="0" fontId="11" fillId="6" borderId="0" xfId="0" applyFont="1" applyFill="1" applyAlignment="1">
      <alignment horizontal="center"/>
    </xf>
    <xf numFmtId="4" fontId="23" fillId="0" borderId="0" xfId="1" applyNumberFormat="1" applyFont="1" applyFill="1" applyBorder="1"/>
    <xf numFmtId="0" fontId="11" fillId="7" borderId="6" xfId="0" applyFont="1" applyFill="1" applyBorder="1" applyAlignment="1">
      <alignment horizontal="center"/>
    </xf>
    <xf numFmtId="0" fontId="0" fillId="8" borderId="0" xfId="0" applyFill="1"/>
    <xf numFmtId="44" fontId="22" fillId="8" borderId="0" xfId="0" applyNumberFormat="1" applyFont="1" applyFill="1"/>
    <xf numFmtId="14" fontId="0" fillId="0" borderId="0" xfId="0" applyNumberFormat="1"/>
    <xf numFmtId="0" fontId="24" fillId="4" borderId="0" xfId="0" applyFont="1" applyFill="1"/>
    <xf numFmtId="0" fontId="0" fillId="0" borderId="0" xfId="0" applyAlignment="1">
      <alignment wrapText="1"/>
    </xf>
    <xf numFmtId="0" fontId="25" fillId="0" borderId="0" xfId="0" applyFont="1" applyAlignment="1">
      <alignment vertical="top"/>
    </xf>
    <xf numFmtId="0" fontId="15" fillId="0" borderId="0" xfId="0" applyFont="1"/>
    <xf numFmtId="0" fontId="13" fillId="3" borderId="0" xfId="0" applyFont="1" applyFill="1" applyAlignment="1">
      <alignment horizontal="left" vertical="center"/>
    </xf>
    <xf numFmtId="0" fontId="0" fillId="5" borderId="11" xfId="0" applyFill="1" applyBorder="1"/>
    <xf numFmtId="0" fontId="0" fillId="5" borderId="12" xfId="0" applyFill="1" applyBorder="1"/>
    <xf numFmtId="0" fontId="15" fillId="9" borderId="11" xfId="0" applyFont="1" applyFill="1" applyBorder="1"/>
    <xf numFmtId="164" fontId="0" fillId="5" borderId="11" xfId="0" applyNumberFormat="1" applyFill="1" applyBorder="1"/>
    <xf numFmtId="164" fontId="0" fillId="5" borderId="12" xfId="0" applyNumberFormat="1" applyFill="1" applyBorder="1"/>
    <xf numFmtId="49" fontId="0" fillId="5" borderId="11" xfId="0" applyNumberFormat="1" applyFill="1" applyBorder="1"/>
    <xf numFmtId="2" fontId="3" fillId="5" borderId="1" xfId="1" applyNumberFormat="1" applyFont="1" applyFill="1" applyBorder="1"/>
    <xf numFmtId="0" fontId="0" fillId="0" borderId="0" xfId="0" applyAlignment="1">
      <alignment horizontal="left"/>
    </xf>
    <xf numFmtId="0" fontId="15" fillId="9" borderId="11" xfId="0" applyFont="1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22" fontId="0" fillId="5" borderId="11" xfId="0" applyNumberFormat="1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8" fillId="0" borderId="0" xfId="0" applyFont="1" applyAlignment="1">
      <alignment vertical="top"/>
    </xf>
    <xf numFmtId="2" fontId="3" fillId="5" borderId="10" xfId="1" applyNumberFormat="1" applyFont="1" applyFill="1" applyBorder="1"/>
    <xf numFmtId="4" fontId="17" fillId="0" borderId="0" xfId="0" applyNumberFormat="1" applyFont="1"/>
    <xf numFmtId="4" fontId="20" fillId="0" borderId="0" xfId="0" applyNumberFormat="1" applyFont="1"/>
    <xf numFmtId="0" fontId="15" fillId="0" borderId="0" xfId="0" applyFont="1" applyAlignment="1">
      <alignment vertical="top" wrapText="1"/>
    </xf>
    <xf numFmtId="0" fontId="5" fillId="0" borderId="0" xfId="0" applyFont="1" applyAlignment="1">
      <alignment horizontal="right"/>
    </xf>
    <xf numFmtId="0" fontId="27" fillId="0" borderId="0" xfId="0" applyFont="1" applyAlignment="1">
      <alignment horizontal="center"/>
    </xf>
    <xf numFmtId="0" fontId="25" fillId="3" borderId="0" xfId="0" applyFont="1" applyFill="1" applyAlignment="1">
      <alignment horizontal="center"/>
    </xf>
    <xf numFmtId="0" fontId="25" fillId="3" borderId="0" xfId="0" applyFont="1" applyFill="1" applyAlignment="1">
      <alignment horizontal="left"/>
    </xf>
  </cellXfs>
  <cellStyles count="3">
    <cellStyle name="Comma" xfId="1" builtinId="3"/>
    <cellStyle name="Hyperlink" xfId="2" builtinId="8"/>
    <cellStyle name="Normal" xfId="0" builtinId="0" customBuiltin="1"/>
  </cellStyles>
  <dxfs count="7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solid">
          <fgColor indexed="64"/>
          <bgColor theme="5" tint="0.79998168889431442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solid">
          <fgColor indexed="64"/>
          <bgColor theme="5" tint="0.79998168889431442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numFmt numFmtId="4" formatCode="#,##0.00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outline="0">
        <top style="thin">
          <color rgb="FFB2B2B2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z val="10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z val="10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z val="10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aj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color rgb="FFC00000"/>
      </font>
    </dxf>
    <dxf>
      <font>
        <color rgb="FFC00000"/>
      </font>
    </dxf>
    <dxf>
      <font>
        <color theme="6" tint="-0.24994659260841701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solid">
          <fgColor indexed="64"/>
          <bgColor theme="5" tint="0.79998168889431442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fill>
        <patternFill patternType="solid">
          <fgColor indexed="64"/>
          <bgColor theme="5" tint="0.79998168889431442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numFmt numFmtId="4" formatCode="#,##0.00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outline="0">
        <top style="thin">
          <color rgb="FFB2B2B2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z val="10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z val="10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2" formatCode="0.00"/>
    </dxf>
    <dxf>
      <font>
        <sz val="10"/>
        <name val="Trebuchet MS"/>
        <family val="2"/>
        <scheme val="minor"/>
      </font>
      <numFmt numFmtId="4" formatCode="#,##0.00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right style="thin">
          <color indexed="55"/>
        </right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ajor"/>
      </font>
      <numFmt numFmtId="34" formatCode="_(&quot;$&quot;* #,##0.00_);_(&quot;$&quot;* \(#,##0.00\);_(&quot;$&quot;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aj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color rgb="FFC00000"/>
      </font>
    </dxf>
    <dxf>
      <font>
        <color rgb="FFC00000"/>
      </font>
    </dxf>
    <dxf>
      <font>
        <color theme="6" tint="-0.24994659260841701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6"/>
        </top>
        <bottom/>
        <vertical/>
        <horizontal/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6"/>
        </top>
        <bottom/>
        <vertical/>
        <horizontal/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</dxfs>
  <tableStyles count="13" defaultTableStyle="TableStyleMedium2" defaultPivotStyle="PivotStyleLight16">
    <tableStyle name="V42_ExpenseTable" pivot="0" count="5" xr9:uid="{00000000-0011-0000-FFFF-FFFF00000000}">
      <tableStyleElement type="wholeTable" dxfId="702"/>
      <tableStyleElement type="headerRow" dxfId="701"/>
      <tableStyleElement type="totalRow" dxfId="700"/>
      <tableStyleElement type="firstColumn" dxfId="699"/>
      <tableStyleElement type="lastColumn" dxfId="698"/>
    </tableStyle>
    <tableStyle name="V42_ExpenseTable 10" pivot="0" count="5" xr9:uid="{00000000-0011-0000-FFFF-FFFF00000000}">
      <tableStyleElement type="wholeTable" dxfId="697"/>
      <tableStyleElement type="headerRow" dxfId="696"/>
      <tableStyleElement type="totalRow" dxfId="695"/>
      <tableStyleElement type="firstColumn" dxfId="694"/>
      <tableStyleElement type="lastColumn" dxfId="693"/>
    </tableStyle>
    <tableStyle name="V42_ExpenseTable 11" pivot="0" count="5" xr9:uid="{00000000-0011-0000-FFFF-FFFF00000000}">
      <tableStyleElement type="wholeTable" dxfId="692"/>
      <tableStyleElement type="headerRow" dxfId="691"/>
      <tableStyleElement type="totalRow" dxfId="690"/>
      <tableStyleElement type="firstColumn" dxfId="689"/>
      <tableStyleElement type="lastColumn" dxfId="688"/>
    </tableStyle>
    <tableStyle name="V42_ExpenseTable 2" pivot="0" count="5" xr9:uid="{00000000-0011-0000-FFFF-FFFF00000000}">
      <tableStyleElement type="wholeTable" dxfId="687"/>
      <tableStyleElement type="headerRow" dxfId="686"/>
      <tableStyleElement type="totalRow" dxfId="685"/>
      <tableStyleElement type="firstColumn" dxfId="684"/>
      <tableStyleElement type="lastColumn" dxfId="683"/>
    </tableStyle>
    <tableStyle name="V42_ExpenseTable 3" pivot="0" count="5" xr9:uid="{00000000-0011-0000-FFFF-FFFF00000000}">
      <tableStyleElement type="wholeTable" dxfId="682"/>
      <tableStyleElement type="headerRow" dxfId="681"/>
      <tableStyleElement type="totalRow" dxfId="680"/>
      <tableStyleElement type="firstColumn" dxfId="679"/>
      <tableStyleElement type="lastColumn" dxfId="678"/>
    </tableStyle>
    <tableStyle name="V42_ExpenseTable 4" pivot="0" count="5" xr9:uid="{00000000-0011-0000-FFFF-FFFF00000000}">
      <tableStyleElement type="wholeTable" dxfId="677"/>
      <tableStyleElement type="headerRow" dxfId="676"/>
      <tableStyleElement type="totalRow" dxfId="675"/>
      <tableStyleElement type="firstColumn" dxfId="674"/>
      <tableStyleElement type="lastColumn" dxfId="673"/>
    </tableStyle>
    <tableStyle name="V42_ExpenseTable 5" pivot="0" count="5" xr9:uid="{00000000-0011-0000-FFFF-FFFF00000000}">
      <tableStyleElement type="wholeTable" dxfId="672"/>
      <tableStyleElement type="headerRow" dxfId="671"/>
      <tableStyleElement type="totalRow" dxfId="670"/>
      <tableStyleElement type="firstColumn" dxfId="669"/>
      <tableStyleElement type="lastColumn" dxfId="668"/>
    </tableStyle>
    <tableStyle name="V42_ExpenseTable 6" pivot="0" count="5" xr9:uid="{00000000-0011-0000-FFFF-FFFF00000000}">
      <tableStyleElement type="wholeTable" dxfId="667"/>
      <tableStyleElement type="headerRow" dxfId="666"/>
      <tableStyleElement type="totalRow" dxfId="665"/>
      <tableStyleElement type="firstColumn" dxfId="664"/>
      <tableStyleElement type="lastColumn" dxfId="663"/>
    </tableStyle>
    <tableStyle name="V42_ExpenseTable 7" pivot="0" count="5" xr9:uid="{00000000-0011-0000-FFFF-FFFF00000000}">
      <tableStyleElement type="wholeTable" dxfId="662"/>
      <tableStyleElement type="headerRow" dxfId="661"/>
      <tableStyleElement type="totalRow" dxfId="660"/>
      <tableStyleElement type="firstColumn" dxfId="659"/>
      <tableStyleElement type="lastColumn" dxfId="658"/>
    </tableStyle>
    <tableStyle name="V42_ExpenseTable 8" pivot="0" count="5" xr9:uid="{00000000-0011-0000-FFFF-FFFF00000000}">
      <tableStyleElement type="wholeTable" dxfId="657"/>
      <tableStyleElement type="headerRow" dxfId="656"/>
      <tableStyleElement type="totalRow" dxfId="655"/>
      <tableStyleElement type="firstColumn" dxfId="654"/>
      <tableStyleElement type="lastColumn" dxfId="653"/>
    </tableStyle>
    <tableStyle name="V42_ExpenseTable 9" pivot="0" count="5" xr9:uid="{00000000-0011-0000-FFFF-FFFF00000000}">
      <tableStyleElement type="wholeTable" dxfId="652"/>
      <tableStyleElement type="headerRow" dxfId="651"/>
      <tableStyleElement type="totalRow" dxfId="650"/>
      <tableStyleElement type="firstColumn" dxfId="649"/>
      <tableStyleElement type="lastColumn" dxfId="648"/>
    </tableStyle>
    <tableStyle name="V42_IncomeTable" pivot="0" count="5" xr9:uid="{00000000-0011-0000-FFFF-FFFF01000000}">
      <tableStyleElement type="wholeTable" dxfId="647"/>
      <tableStyleElement type="headerRow" dxfId="646"/>
      <tableStyleElement type="totalRow" dxfId="645"/>
      <tableStyleElement type="firstColumn" dxfId="644"/>
      <tableStyleElement type="lastColumn" dxfId="643"/>
    </tableStyle>
    <tableStyle name="V42_IncomeTable 2" pivot="0" count="5" xr9:uid="{00000000-0011-0000-FFFF-FFFF01000000}">
      <tableStyleElement type="wholeTable" dxfId="642"/>
      <tableStyleElement type="headerRow" dxfId="641"/>
      <tableStyleElement type="totalRow" dxfId="640"/>
      <tableStyleElement type="firstColumn" dxfId="639"/>
      <tableStyleElement type="lastColumn" dxfId="63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4F4F4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B2B2B2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EECECE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Income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'2023'!$A$11</c:f>
              <c:strCache>
                <c:ptCount val="1"/>
                <c:pt idx="0">
                  <c:v>Wages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'2023'!$B$11:$M$11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DE92-4E3B-A29B-4E379E4EB987}"/>
            </c:ext>
          </c:extLst>
        </c:ser>
        <c:ser>
          <c:idx val="1"/>
          <c:order val="1"/>
          <c:tx>
            <c:strRef>
              <c:f>'2023'!$A$12</c:f>
              <c:strCache>
                <c:ptCount val="1"/>
                <c:pt idx="0">
                  <c:v>Bonus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'2023'!$B$12:$M$12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DE92-4E3B-A29B-4E379E4EB987}"/>
            </c:ext>
          </c:extLst>
        </c:ser>
        <c:ser>
          <c:idx val="2"/>
          <c:order val="2"/>
          <c:tx>
            <c:strRef>
              <c:f>'2023'!$A$13</c:f>
              <c:strCache>
                <c:ptCount val="1"/>
                <c:pt idx="0">
                  <c:v>Interest Income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'2023'!$B$13:$M$13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DE92-4E3B-A29B-4E379E4EB987}"/>
            </c:ext>
          </c:extLst>
        </c:ser>
        <c:ser>
          <c:idx val="3"/>
          <c:order val="3"/>
          <c:tx>
            <c:strRef>
              <c:f>'2023'!$A$14</c:f>
              <c:strCache>
                <c:ptCount val="1"/>
                <c:pt idx="0">
                  <c:v>Dividends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'2023'!$B$14:$M$14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DE92-4E3B-A29B-4E379E4EB987}"/>
            </c:ext>
          </c:extLst>
        </c:ser>
        <c:ser>
          <c:idx val="4"/>
          <c:order val="4"/>
          <c:tx>
            <c:strRef>
              <c:f>'2023'!$A$15</c:f>
              <c:strCache>
                <c:ptCount val="1"/>
                <c:pt idx="0">
                  <c:v>Tax Refund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'2023'!$B$15:$M$15</c:f>
              <c:numCache>
                <c:formatCode>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4-DE92-4E3B-A29B-4E379E4EB987}"/>
            </c:ext>
          </c:extLst>
        </c:ser>
        <c:ser>
          <c:idx val="5"/>
          <c:order val="5"/>
          <c:tx>
            <c:strRef>
              <c:f>'2023'!$A$16</c:f>
              <c:strCache>
                <c:ptCount val="1"/>
                <c:pt idx="0">
                  <c:v>Gifts Received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'2023'!$B$16:$M$16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5-DE92-4E3B-A29B-4E379E4EB987}"/>
            </c:ext>
          </c:extLst>
        </c:ser>
        <c:ser>
          <c:idx val="6"/>
          <c:order val="6"/>
          <c:tx>
            <c:strRef>
              <c:f>'2023'!$A$17</c:f>
              <c:strCache>
                <c:ptCount val="1"/>
                <c:pt idx="0">
                  <c:v>Other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'2023'!$B$17:$M$17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DE92-4E3B-A29B-4E379E4EB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858408"/>
        <c:axId val="753856112"/>
      </c:areaChart>
      <c:catAx>
        <c:axId val="75385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6112"/>
        <c:crosses val="autoZero"/>
        <c:auto val="1"/>
        <c:lblAlgn val="ctr"/>
        <c:lblOffset val="100"/>
        <c:noMultiLvlLbl val="0"/>
      </c:catAx>
      <c:valAx>
        <c:axId val="7538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8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'2023'!$A$34</c:f>
              <c:strCache>
                <c:ptCount val="1"/>
                <c:pt idx="0">
                  <c:v>Total HOME EXPENSES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'2023'!$B$34:$M$34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9D-4F3C-80C6-E17EF2A65106}"/>
            </c:ext>
          </c:extLst>
        </c:ser>
        <c:ser>
          <c:idx val="1"/>
          <c:order val="1"/>
          <c:tx>
            <c:strRef>
              <c:f>'2023'!$A$44</c:f>
              <c:strCache>
                <c:ptCount val="1"/>
                <c:pt idx="0">
                  <c:v>Total TRANSPORTATION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'2023'!$B$44:$M$44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9D-4F3C-80C6-E17EF2A65106}"/>
            </c:ext>
          </c:extLst>
        </c:ser>
        <c:ser>
          <c:idx val="2"/>
          <c:order val="2"/>
          <c:tx>
            <c:strRef>
              <c:f>'2023'!$A$54</c:f>
              <c:strCache>
                <c:ptCount val="1"/>
                <c:pt idx="0">
                  <c:v>Total HEALTH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'2023'!$B$54:$M$54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9D-4F3C-80C6-E17EF2A65106}"/>
            </c:ext>
          </c:extLst>
        </c:ser>
        <c:ser>
          <c:idx val="3"/>
          <c:order val="3"/>
          <c:tx>
            <c:strRef>
              <c:f>'2023'!$A$60</c:f>
              <c:strCache>
                <c:ptCount val="1"/>
                <c:pt idx="0">
                  <c:v>Total CHARITY/GIFTS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'2023'!$B$60:$M$60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9D-4F3C-80C6-E17EF2A65106}"/>
            </c:ext>
          </c:extLst>
        </c:ser>
        <c:ser>
          <c:idx val="4"/>
          <c:order val="4"/>
          <c:tx>
            <c:strRef>
              <c:f>'2023'!$A$73</c:f>
              <c:strCache>
                <c:ptCount val="1"/>
                <c:pt idx="0">
                  <c:v>Total DAILY LIVING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'2023'!$B$73:$M$73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9D-4F3C-80C6-E17EF2A65106}"/>
            </c:ext>
          </c:extLst>
        </c:ser>
        <c:ser>
          <c:idx val="5"/>
          <c:order val="5"/>
          <c:tx>
            <c:strRef>
              <c:f>'2023'!$A$89</c:f>
              <c:strCache>
                <c:ptCount val="1"/>
                <c:pt idx="0">
                  <c:v>Total ENTERTAINMENT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'2023'!$B$89:$M$89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9D-4F3C-80C6-E17EF2A65106}"/>
            </c:ext>
          </c:extLst>
        </c:ser>
        <c:ser>
          <c:idx val="6"/>
          <c:order val="6"/>
          <c:tx>
            <c:strRef>
              <c:f>'2023'!$A$96</c:f>
              <c:strCache>
                <c:ptCount val="1"/>
                <c:pt idx="0">
                  <c:v>Total SAVINGS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'2023'!$B$96:$M$96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9D-4F3C-80C6-E17EF2A65106}"/>
            </c:ext>
          </c:extLst>
        </c:ser>
        <c:ser>
          <c:idx val="7"/>
          <c:order val="7"/>
          <c:tx>
            <c:strRef>
              <c:f>'2023'!$A$105</c:f>
              <c:strCache>
                <c:ptCount val="1"/>
                <c:pt idx="0">
                  <c:v>Total OBLIGATIONS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'2023'!$B$105:$M$105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9D-4F3C-80C6-E17EF2A65106}"/>
            </c:ext>
          </c:extLst>
        </c:ser>
        <c:ser>
          <c:idx val="8"/>
          <c:order val="8"/>
          <c:tx>
            <c:strRef>
              <c:f>'2023'!$A$110</c:f>
              <c:strCache>
                <c:ptCount val="1"/>
                <c:pt idx="0">
                  <c:v>Total MISCELLANEOUS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hade val="51000"/>
                    <a:satMod val="130000"/>
                  </a:schemeClr>
                </a:gs>
                <a:gs pos="80000">
                  <a:schemeClr val="accent3">
                    <a:lumMod val="60000"/>
                    <a:shade val="93000"/>
                    <a:satMod val="130000"/>
                  </a:schemeClr>
                </a:gs>
                <a:gs pos="100000">
                  <a:schemeClr val="accent3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'2023'!$B$110:$M$110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9D-4F3C-80C6-E17EF2A65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241072"/>
        <c:axId val="419233856"/>
      </c:barChart>
      <c:catAx>
        <c:axId val="41924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33856"/>
        <c:crosses val="autoZero"/>
        <c:auto val="1"/>
        <c:lblAlgn val="ctr"/>
        <c:lblOffset val="100"/>
        <c:noMultiLvlLbl val="0"/>
      </c:catAx>
      <c:valAx>
        <c:axId val="419233856"/>
        <c:scaling>
          <c:orientation val="minMax"/>
          <c:max val="1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4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v>Net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'2023'!$B$8:$M$8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E37-4BA2-B2EC-FE108392F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359224"/>
        <c:axId val="510360536"/>
      </c:areaChart>
      <c:barChart>
        <c:barDir val="col"/>
        <c:grouping val="clustered"/>
        <c:varyColors val="0"/>
        <c:ser>
          <c:idx val="0"/>
          <c:order val="0"/>
          <c:tx>
            <c:strRef>
              <c:f>'2023'!$A$5</c:f>
              <c:strCache>
                <c:ptCount val="1"/>
                <c:pt idx="0">
                  <c:v>Total Income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'2023'!$B$5:$M$5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E37-4BA2-B2EC-FE108392FAC0}"/>
            </c:ext>
          </c:extLst>
        </c:ser>
        <c:ser>
          <c:idx val="1"/>
          <c:order val="1"/>
          <c:tx>
            <c:strRef>
              <c:f>'2023'!$A$6</c:f>
              <c:strCache>
                <c:ptCount val="1"/>
                <c:pt idx="0">
                  <c:v>Total 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'2023'!$B$6:$M$6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E37-4BA2-B2EC-FE108392F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359224"/>
        <c:axId val="510360536"/>
      </c:barChart>
      <c:catAx>
        <c:axId val="510359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60536"/>
        <c:crosses val="autoZero"/>
        <c:auto val="1"/>
        <c:lblAlgn val="ctr"/>
        <c:lblOffset val="100"/>
        <c:noMultiLvlLbl val="0"/>
      </c:catAx>
      <c:valAx>
        <c:axId val="510360536"/>
        <c:scaling>
          <c:orientation val="minMax"/>
          <c:max val="15000"/>
          <c:min val="-8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5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Income Landing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48C2-4342-B813-37208810CDC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48C2-4342-B813-37208810CDC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48C2-4342-B813-37208810CDC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48C2-4342-B813-37208810CDC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48C2-4342-B813-37208810CDC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48C2-4342-B813-37208810CDC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48C2-4342-B813-37208810CDC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48C2-4342-B813-37208810CDCD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48C2-4342-B813-37208810CDC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baseline="0"/>
                      <a:t>SAVED
</a:t>
                    </a:r>
                    <a:fld id="{D932E228-CC05-44E9-B361-5F7335E88954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8C2-4342-B813-37208810CD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(#REF!,#REF!,#REF!,#REF!,#REF!,#REF!,#REF!,#REF!,#REF!)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(#REF!,#REF!,#REF!,#REF!,#REF!,#REF!,#REF!,#REF!,#REF!)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2-48C2-4342-B813-37208810CDC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Income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'2023'!$A$11</c:f>
              <c:strCache>
                <c:ptCount val="1"/>
                <c:pt idx="0">
                  <c:v>Wages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'2023'!$B$11:$M$11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B040-4486-B70D-22BF88F2D9B4}"/>
            </c:ext>
          </c:extLst>
        </c:ser>
        <c:ser>
          <c:idx val="1"/>
          <c:order val="1"/>
          <c:tx>
            <c:strRef>
              <c:f>'2023'!$A$12</c:f>
              <c:strCache>
                <c:ptCount val="1"/>
                <c:pt idx="0">
                  <c:v>Bonus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'2023'!$B$12:$M$12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1-B040-4486-B70D-22BF88F2D9B4}"/>
            </c:ext>
          </c:extLst>
        </c:ser>
        <c:ser>
          <c:idx val="2"/>
          <c:order val="2"/>
          <c:tx>
            <c:strRef>
              <c:f>'2023'!$A$13</c:f>
              <c:strCache>
                <c:ptCount val="1"/>
                <c:pt idx="0">
                  <c:v>Interest Income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'2023'!$B$13:$M$13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2-B040-4486-B70D-22BF88F2D9B4}"/>
            </c:ext>
          </c:extLst>
        </c:ser>
        <c:ser>
          <c:idx val="3"/>
          <c:order val="3"/>
          <c:tx>
            <c:strRef>
              <c:f>'2023'!$A$14</c:f>
              <c:strCache>
                <c:ptCount val="1"/>
                <c:pt idx="0">
                  <c:v>Dividends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'2023'!$B$14:$M$14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3-B040-4486-B70D-22BF88F2D9B4}"/>
            </c:ext>
          </c:extLst>
        </c:ser>
        <c:ser>
          <c:idx val="4"/>
          <c:order val="4"/>
          <c:tx>
            <c:strRef>
              <c:f>'2023'!$A$15</c:f>
              <c:strCache>
                <c:ptCount val="1"/>
                <c:pt idx="0">
                  <c:v>Tax Refund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'2023'!$B$15:$M$15</c:f>
              <c:numCache>
                <c:formatCode>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4-B040-4486-B70D-22BF88F2D9B4}"/>
            </c:ext>
          </c:extLst>
        </c:ser>
        <c:ser>
          <c:idx val="5"/>
          <c:order val="5"/>
          <c:tx>
            <c:strRef>
              <c:f>'2023'!$A$16</c:f>
              <c:strCache>
                <c:ptCount val="1"/>
                <c:pt idx="0">
                  <c:v>Gifts Received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'2023'!$B$16:$M$16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5-B040-4486-B70D-22BF88F2D9B4}"/>
            </c:ext>
          </c:extLst>
        </c:ser>
        <c:ser>
          <c:idx val="6"/>
          <c:order val="6"/>
          <c:tx>
            <c:strRef>
              <c:f>'2023'!$A$17</c:f>
              <c:strCache>
                <c:ptCount val="1"/>
                <c:pt idx="0">
                  <c:v>Other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Ref>
              <c:f>'2023'!$B$10:$M$10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'2023'!$B$17:$M$17</c:f>
              <c:numCache>
                <c:formatCode>#,##0.00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B040-4486-B70D-22BF88F2D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858408"/>
        <c:axId val="753856112"/>
      </c:areaChart>
      <c:catAx>
        <c:axId val="75385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6112"/>
        <c:crosses val="autoZero"/>
        <c:auto val="1"/>
        <c:lblAlgn val="ctr"/>
        <c:lblOffset val="100"/>
        <c:noMultiLvlLbl val="0"/>
      </c:catAx>
      <c:valAx>
        <c:axId val="7538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8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'2023'!$A$34</c:f>
              <c:strCache>
                <c:ptCount val="1"/>
                <c:pt idx="0">
                  <c:v>Total HOME EXPENSES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'2023'!$B$34:$M$34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D-4395-BDC1-CB8520E2988D}"/>
            </c:ext>
          </c:extLst>
        </c:ser>
        <c:ser>
          <c:idx val="1"/>
          <c:order val="1"/>
          <c:tx>
            <c:strRef>
              <c:f>'2023'!$A$44</c:f>
              <c:strCache>
                <c:ptCount val="1"/>
                <c:pt idx="0">
                  <c:v>Total TRANSPORTATION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'2023'!$B$44:$M$44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ED-4395-BDC1-CB8520E2988D}"/>
            </c:ext>
          </c:extLst>
        </c:ser>
        <c:ser>
          <c:idx val="2"/>
          <c:order val="2"/>
          <c:tx>
            <c:strRef>
              <c:f>'2023'!$A$54</c:f>
              <c:strCache>
                <c:ptCount val="1"/>
                <c:pt idx="0">
                  <c:v>Total HEALTH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'2023'!$B$54:$M$54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ED-4395-BDC1-CB8520E2988D}"/>
            </c:ext>
          </c:extLst>
        </c:ser>
        <c:ser>
          <c:idx val="3"/>
          <c:order val="3"/>
          <c:tx>
            <c:strRef>
              <c:f>'2023'!$A$60</c:f>
              <c:strCache>
                <c:ptCount val="1"/>
                <c:pt idx="0">
                  <c:v>Total CHARITY/GIFTS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'2023'!$B$60:$M$60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ED-4395-BDC1-CB8520E2988D}"/>
            </c:ext>
          </c:extLst>
        </c:ser>
        <c:ser>
          <c:idx val="4"/>
          <c:order val="4"/>
          <c:tx>
            <c:strRef>
              <c:f>'2023'!$A$73</c:f>
              <c:strCache>
                <c:ptCount val="1"/>
                <c:pt idx="0">
                  <c:v>Total DAILY LIVING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'2023'!$B$73:$M$73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ED-4395-BDC1-CB8520E2988D}"/>
            </c:ext>
          </c:extLst>
        </c:ser>
        <c:ser>
          <c:idx val="5"/>
          <c:order val="5"/>
          <c:tx>
            <c:strRef>
              <c:f>'2023'!$A$89</c:f>
              <c:strCache>
                <c:ptCount val="1"/>
                <c:pt idx="0">
                  <c:v>Total ENTERTAINMENT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'2023'!$B$89:$M$89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ED-4395-BDC1-CB8520E2988D}"/>
            </c:ext>
          </c:extLst>
        </c:ser>
        <c:ser>
          <c:idx val="6"/>
          <c:order val="6"/>
          <c:tx>
            <c:strRef>
              <c:f>'2023'!$A$96</c:f>
              <c:strCache>
                <c:ptCount val="1"/>
                <c:pt idx="0">
                  <c:v>Total SAVINGS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'2023'!$B$96:$M$96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ED-4395-BDC1-CB8520E2988D}"/>
            </c:ext>
          </c:extLst>
        </c:ser>
        <c:ser>
          <c:idx val="7"/>
          <c:order val="7"/>
          <c:tx>
            <c:strRef>
              <c:f>'2023'!$A$105</c:f>
              <c:strCache>
                <c:ptCount val="1"/>
                <c:pt idx="0">
                  <c:v>Total OBLIGATIONS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'2023'!$B$105:$M$105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ED-4395-BDC1-CB8520E2988D}"/>
            </c:ext>
          </c:extLst>
        </c:ser>
        <c:ser>
          <c:idx val="8"/>
          <c:order val="8"/>
          <c:tx>
            <c:strRef>
              <c:f>'2023'!$A$110</c:f>
              <c:strCache>
                <c:ptCount val="1"/>
                <c:pt idx="0">
                  <c:v>Total MISCELLANEOUS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hade val="51000"/>
                    <a:satMod val="130000"/>
                  </a:schemeClr>
                </a:gs>
                <a:gs pos="80000">
                  <a:schemeClr val="accent3">
                    <a:lumMod val="60000"/>
                    <a:shade val="93000"/>
                    <a:satMod val="130000"/>
                  </a:schemeClr>
                </a:gs>
                <a:gs pos="100000">
                  <a:schemeClr val="accent3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'2023'!$B$20:$M$20</c:f>
              <c:strCache>
                <c:ptCount val="12"/>
                <c:pt idx="0">
                  <c:v> January </c:v>
                </c:pt>
                <c:pt idx="1">
                  <c:v> February </c:v>
                </c:pt>
                <c:pt idx="2">
                  <c:v> March </c:v>
                </c:pt>
                <c:pt idx="3">
                  <c:v> April </c:v>
                </c:pt>
                <c:pt idx="4">
                  <c:v> May </c:v>
                </c:pt>
                <c:pt idx="5">
                  <c:v> June 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'2023'!$B$110:$M$110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ED-4395-BDC1-CB8520E29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9241072"/>
        <c:axId val="419233856"/>
      </c:barChart>
      <c:catAx>
        <c:axId val="41924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33856"/>
        <c:crosses val="autoZero"/>
        <c:auto val="1"/>
        <c:lblAlgn val="ctr"/>
        <c:lblOffset val="100"/>
        <c:noMultiLvlLbl val="0"/>
      </c:catAx>
      <c:valAx>
        <c:axId val="419233856"/>
        <c:scaling>
          <c:orientation val="minMax"/>
          <c:max val="1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4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v>Net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'2023'!$B$8:$M$8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#REF!$B$4:$M$4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235-48B4-A1AB-051F971C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359224"/>
        <c:axId val="510360536"/>
      </c:areaChart>
      <c:barChart>
        <c:barDir val="col"/>
        <c:grouping val="clustered"/>
        <c:varyColors val="0"/>
        <c:ser>
          <c:idx val="0"/>
          <c:order val="0"/>
          <c:tx>
            <c:strRef>
              <c:f>'2023'!$A$5</c:f>
              <c:strCache>
                <c:ptCount val="1"/>
                <c:pt idx="0">
                  <c:v>Total Income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'2023'!$B$5:$M$5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#REF!$B$4:$M$4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235-48B4-A1AB-051F971C2CD5}"/>
            </c:ext>
          </c:extLst>
        </c:ser>
        <c:ser>
          <c:idx val="1"/>
          <c:order val="1"/>
          <c:tx>
            <c:strRef>
              <c:f>'2023'!$A$6</c:f>
              <c:strCache>
                <c:ptCount val="1"/>
                <c:pt idx="0">
                  <c:v>Total 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'2023'!$B$6:$M$6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#REF!$B$4:$M$4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235-48B4-A1AB-051F971C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359224"/>
        <c:axId val="510360536"/>
      </c:barChart>
      <c:catAx>
        <c:axId val="510359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60536"/>
        <c:crosses val="autoZero"/>
        <c:auto val="1"/>
        <c:lblAlgn val="ctr"/>
        <c:lblOffset val="100"/>
        <c:noMultiLvlLbl val="0"/>
      </c:catAx>
      <c:valAx>
        <c:axId val="510360536"/>
        <c:scaling>
          <c:orientation val="minMax"/>
          <c:max val="15000"/>
          <c:min val="-8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5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Income Landing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2977-48C5-80DC-A6A9603A366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2977-48C5-80DC-A6A9603A366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2977-48C5-80DC-A6A9603A366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2977-48C5-80DC-A6A9603A366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2977-48C5-80DC-A6A9603A366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2977-48C5-80DC-A6A9603A366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2977-48C5-80DC-A6A9603A366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2977-48C5-80DC-A6A9603A366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2977-48C5-80DC-A6A9603A366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 baseline="0"/>
                      <a:t>SAVED
</a:t>
                    </a:r>
                    <a:fld id="{D932E228-CC05-44E9-B361-5F7335E88954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977-48C5-80DC-A6A9603A36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(#REF!,#REF!,#REF!,#REF!,#REF!,#REF!,#REF!,#REF!,#REF!)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(#REF!,#REF!,#REF!,#REF!,#REF!,#REF!,#REF!,#REF!,#REF!)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2-2977-48C5-80DC-A6A9603A366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409574</xdr:colOff>
      <xdr:row>2</xdr:row>
      <xdr:rowOff>170089</xdr:rowOff>
    </xdr:from>
    <xdr:to>
      <xdr:col>28</xdr:col>
      <xdr:colOff>28574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411616</xdr:colOff>
      <xdr:row>21</xdr:row>
      <xdr:rowOff>157162</xdr:rowOff>
    </xdr:from>
    <xdr:to>
      <xdr:col>28</xdr:col>
      <xdr:colOff>28575</xdr:colOff>
      <xdr:row>39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409574</xdr:colOff>
      <xdr:row>39</xdr:row>
      <xdr:rowOff>95249</xdr:rowOff>
    </xdr:from>
    <xdr:to>
      <xdr:col>28</xdr:col>
      <xdr:colOff>28574</xdr:colOff>
      <xdr:row>63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0</xdr:row>
          <xdr:rowOff>180975</xdr:rowOff>
        </xdr:from>
        <xdr:to>
          <xdr:col>6</xdr:col>
          <xdr:colOff>219075</xdr:colOff>
          <xdr:row>2</xdr:row>
          <xdr:rowOff>28575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Budget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0</xdr:row>
          <xdr:rowOff>180975</xdr:rowOff>
        </xdr:from>
        <xdr:to>
          <xdr:col>6</xdr:col>
          <xdr:colOff>219075</xdr:colOff>
          <xdr:row>2</xdr:row>
          <xdr:rowOff>28575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Budget Item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266700</xdr:colOff>
      <xdr:row>2</xdr:row>
      <xdr:rowOff>161925</xdr:rowOff>
    </xdr:from>
    <xdr:to>
      <xdr:col>40</xdr:col>
      <xdr:colOff>114302</xdr:colOff>
      <xdr:row>43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4191000</xdr:colOff>
      <xdr:row>0</xdr:row>
      <xdr:rowOff>0</xdr:rowOff>
    </xdr:from>
    <xdr:to>
      <xdr:col>1</xdr:col>
      <xdr:colOff>4191000</xdr:colOff>
      <xdr:row>0</xdr:row>
      <xdr:rowOff>179546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0"/>
          <a:ext cx="1390650" cy="31289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409574</xdr:colOff>
      <xdr:row>2</xdr:row>
      <xdr:rowOff>170089</xdr:rowOff>
    </xdr:from>
    <xdr:to>
      <xdr:col>28</xdr:col>
      <xdr:colOff>28574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411616</xdr:colOff>
      <xdr:row>21</xdr:row>
      <xdr:rowOff>157162</xdr:rowOff>
    </xdr:from>
    <xdr:to>
      <xdr:col>28</xdr:col>
      <xdr:colOff>28575</xdr:colOff>
      <xdr:row>39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409574</xdr:colOff>
      <xdr:row>39</xdr:row>
      <xdr:rowOff>95249</xdr:rowOff>
    </xdr:from>
    <xdr:to>
      <xdr:col>28</xdr:col>
      <xdr:colOff>28574</xdr:colOff>
      <xdr:row>63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1</xdr:row>
          <xdr:rowOff>180975</xdr:rowOff>
        </xdr:from>
        <xdr:to>
          <xdr:col>6</xdr:col>
          <xdr:colOff>219075</xdr:colOff>
          <xdr:row>2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Budget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1</xdr:row>
          <xdr:rowOff>180975</xdr:rowOff>
        </xdr:from>
        <xdr:to>
          <xdr:col>6</xdr:col>
          <xdr:colOff>219075</xdr:colOff>
          <xdr:row>2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Budget Item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266700</xdr:colOff>
      <xdr:row>2</xdr:row>
      <xdr:rowOff>161925</xdr:rowOff>
    </xdr:from>
    <xdr:to>
      <xdr:col>40</xdr:col>
      <xdr:colOff>114302</xdr:colOff>
      <xdr:row>43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6A7D217-3510-4E20-8D04-EC360581FF49}" name="BudgetSummary23546" displayName="BudgetSummary23546" ref="A4:M7" totalsRowCount="1" headerRowDxfId="631">
  <autoFilter ref="A4:M6" xr:uid="{47DF614C-CB48-40E1-9AE0-D4D4DC83C69B}"/>
  <tableColumns count="13">
    <tableColumn id="1" xr3:uid="{A2A6CB87-8ADE-4A64-A50D-F270D3237553}" name="BUDGET SUMMARY" totalsRowLabel="NET BY MONTH"/>
    <tableColumn id="2" xr3:uid="{7B609E4A-E7A7-4823-A8DA-A40EB3D135E3}" name="January" totalsRowFunction="custom" dataDxfId="630" totalsRowDxfId="629">
      <calculatedColumnFormula>SUBTOTAL(9,#REF!)</calculatedColumnFormula>
      <totalsRowFormula>B5-B6</totalsRowFormula>
    </tableColumn>
    <tableColumn id="3" xr3:uid="{B05A6944-934A-4339-8CE3-34F52CDB9577}" name="February" totalsRowFunction="custom" totalsRowDxfId="628">
      <totalsRowFormula>C5-C6</totalsRowFormula>
    </tableColumn>
    <tableColumn id="4" xr3:uid="{9EAAEE0C-8A28-4ECE-BED5-E483ED0B608A}" name="March" totalsRowFunction="custom" totalsRowDxfId="627">
      <totalsRowFormula>D5-D6</totalsRowFormula>
    </tableColumn>
    <tableColumn id="5" xr3:uid="{8C24BF50-4F42-4B81-9005-258B9C3BF0CA}" name="April" totalsRowFunction="custom" totalsRowDxfId="626">
      <totalsRowFormula>E5-E6</totalsRowFormula>
    </tableColumn>
    <tableColumn id="6" xr3:uid="{44ED325D-6C66-4F6C-B604-3FE61098BC73}" name="May" totalsRowFunction="custom" totalsRowDxfId="625">
      <totalsRowFormula>F5-F6</totalsRowFormula>
    </tableColumn>
    <tableColumn id="7" xr3:uid="{FBE2F1A8-0BEC-4896-8B73-BC3E5374E5D9}" name="June" totalsRowFunction="custom" totalsRowDxfId="624">
      <totalsRowFormula>G5-G6</totalsRowFormula>
    </tableColumn>
    <tableColumn id="8" xr3:uid="{75794B44-ECAF-4F56-83DD-E7126B5646CE}" name="July" totalsRowFunction="custom" totalsRowDxfId="623">
      <totalsRowFormula>H5-H6</totalsRowFormula>
    </tableColumn>
    <tableColumn id="9" xr3:uid="{9187146F-BE0B-4156-AF19-037D7FFA80B1}" name="August" totalsRowFunction="custom" totalsRowDxfId="622">
      <totalsRowFormula>I5-I6</totalsRowFormula>
    </tableColumn>
    <tableColumn id="10" xr3:uid="{6D3709B5-8D40-4E83-8BF9-49FF45B025FD}" name="September" totalsRowFunction="custom" totalsRowDxfId="621">
      <totalsRowFormula>J5-J6</totalsRowFormula>
    </tableColumn>
    <tableColumn id="11" xr3:uid="{65D2F8BE-B35D-4FD7-8115-C4C51AD275CB}" name="October" totalsRowFunction="custom" totalsRowDxfId="620">
      <totalsRowFormula>K5-K6</totalsRowFormula>
    </tableColumn>
    <tableColumn id="12" xr3:uid="{9F028351-10FB-422C-A86B-96E8E013ED1C}" name="November" totalsRowFunction="custom" totalsRowDxfId="619">
      <totalsRowFormula>L5-L6</totalsRowFormula>
    </tableColumn>
    <tableColumn id="13" xr3:uid="{99A64CC2-7E4D-477A-820A-6FF64B6E1116}" name="December" totalsRowFunction="custom" totalsRowDxfId="618">
      <totalsRowFormula>M5-M6</totalsRowFormula>
    </tableColumn>
  </tableColumns>
  <tableStyleInfo name="TableStyleMedium1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FA2A5FE2-E8E7-41C8-A9D6-D89030BC71B0}" name="Income33647" displayName="Income33647" ref="A10:M18" totalsRowCount="1" headerRowDxfId="617" dataDxfId="615" headerRowBorderDxfId="616" tableBorderDxfId="614">
  <tableColumns count="13">
    <tableColumn id="1" xr3:uid="{9226B81D-A4E1-413B-AB01-870EA8B88C7A}" name="INCOME" totalsRowFunction="custom" dataDxfId="613" totalsRowDxfId="612">
      <totalsRowFormula>"Total " &amp; Income33647[[#Headers],[INCOME]]</totalsRowFormula>
    </tableColumn>
    <tableColumn id="2" xr3:uid="{7FF3FD36-83D6-4D28-B3C4-A743FC3212B3}" name="January" totalsRowFunction="custom" dataDxfId="611" totalsRowDxfId="610" dataCellStyle="Comma">
      <totalsRowFormula>SUBTOTAL(9,Income33647[January])</totalsRowFormula>
    </tableColumn>
    <tableColumn id="3" xr3:uid="{70D894AF-91C4-4D2C-AB99-068FC0E63875}" name="February" totalsRowFunction="custom" dataDxfId="609" totalsRowDxfId="608" dataCellStyle="Comma">
      <totalsRowFormula>SUBTOTAL(9,Income33647[February])</totalsRowFormula>
    </tableColumn>
    <tableColumn id="4" xr3:uid="{14D14779-F802-4AEF-A4A8-AA9BD1E9D973}" name="March" totalsRowFunction="custom" dataDxfId="607" totalsRowDxfId="606" dataCellStyle="Comma">
      <totalsRowFormula>SUBTOTAL(9,Income33647[March])</totalsRowFormula>
    </tableColumn>
    <tableColumn id="5" xr3:uid="{F601428A-BA7F-4527-839B-7EF0AF25A647}" name="April" totalsRowFunction="custom" dataDxfId="605" totalsRowDxfId="604" dataCellStyle="Comma">
      <totalsRowFormula>SUBTOTAL(9,Income33647[April])</totalsRowFormula>
    </tableColumn>
    <tableColumn id="6" xr3:uid="{74C9622A-9286-48A1-BCE8-60727C37A0E3}" name="May" totalsRowFunction="custom" dataDxfId="603" totalsRowDxfId="602" dataCellStyle="Comma">
      <totalsRowFormula>SUBTOTAL(9,Income33647[May])</totalsRowFormula>
    </tableColumn>
    <tableColumn id="7" xr3:uid="{B3B3C101-2B69-4CD1-AB2F-41210AA5E83B}" name="June" totalsRowFunction="custom" dataDxfId="601" totalsRowDxfId="600" dataCellStyle="Comma">
      <totalsRowFormula>SUBTOTAL(9,Income33647[June])</totalsRowFormula>
    </tableColumn>
    <tableColumn id="8" xr3:uid="{B518BBD3-FE38-4D78-B65A-24AF49D6C7A2}" name="July" totalsRowFunction="custom" dataDxfId="599" totalsRowDxfId="598" dataCellStyle="Comma">
      <totalsRowFormula>SUBTOTAL(9,Income33647[July])</totalsRowFormula>
    </tableColumn>
    <tableColumn id="9" xr3:uid="{6711D888-53A6-4C85-88E4-5525646135FE}" name="August" totalsRowFunction="custom" dataDxfId="597" totalsRowDxfId="596" dataCellStyle="Comma">
      <totalsRowFormula>SUBTOTAL(9,Income33647[August])</totalsRowFormula>
    </tableColumn>
    <tableColumn id="10" xr3:uid="{387A9A55-B452-4E07-A8C6-56AD5F3001D9}" name="September" totalsRowFunction="custom" dataDxfId="595" totalsRowDxfId="594">
      <totalsRowFormula>SUBTOTAL(9,Income33647[September])</totalsRowFormula>
    </tableColumn>
    <tableColumn id="11" xr3:uid="{6B3F9249-8A02-4137-ABEC-07B2BBD9BD2B}" name="October" totalsRowFunction="custom" dataDxfId="593" totalsRowDxfId="592">
      <totalsRowFormula>SUBTOTAL(9,Income33647[October])</totalsRowFormula>
    </tableColumn>
    <tableColumn id="12" xr3:uid="{E6A58CC8-EEFD-4C25-B732-0657B3639674}" name="November" totalsRowFunction="custom" dataDxfId="591" totalsRowDxfId="590">
      <totalsRowFormula>SUBTOTAL(9,Income33647[November])</totalsRowFormula>
    </tableColumn>
    <tableColumn id="13" xr3:uid="{E3C0DD56-8AF4-40B1-8D72-72B0A0DE7183}" name="December" totalsRowFunction="custom" dataDxfId="589" totalsRowDxfId="588">
      <totalsRowFormula>SUBTOTAL(9,Income33647[December])</totalsRowFormula>
    </tableColumn>
  </tableColumns>
  <tableStyleInfo name="V42_IncomeTable" showFirstColumn="1" showLastColumn="1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71489D9-A419-4381-8353-FAB5E3B037DA}" name="HomeExpenses43748" displayName="HomeExpenses43748" ref="A20:M34" totalsRowCount="1" headerRowDxfId="587" dataDxfId="585" headerRowBorderDxfId="586" tableBorderDxfId="584">
  <tableColumns count="13">
    <tableColumn id="1" xr3:uid="{3FBF7817-25DD-475E-801B-BD5B0E8219DC}" name="HOME EXPENSES" totalsRowFunction="custom" dataDxfId="583" totalsRowDxfId="582">
      <totalsRowFormula>"Total " &amp; HomeExpenses43748[[#Headers],[HOME EXPENSES]]</totalsRowFormula>
    </tableColumn>
    <tableColumn id="2" xr3:uid="{AA157E97-E9A0-4E05-BE42-BABD90A945BE}" name="January" totalsRowFunction="custom" dataDxfId="581" totalsRowDxfId="580" dataCellStyle="Comma">
      <totalsRowFormula>SUBTOTAL(9,HomeExpenses43748[January])</totalsRowFormula>
    </tableColumn>
    <tableColumn id="3" xr3:uid="{D582D961-D385-4094-8544-348E380F8EDB}" name="February" totalsRowFunction="custom" dataDxfId="579" totalsRowDxfId="578" dataCellStyle="Comma">
      <totalsRowFormula>SUBTOTAL(9,HomeExpenses43748[February])</totalsRowFormula>
    </tableColumn>
    <tableColumn id="4" xr3:uid="{98589219-576D-4DCE-99F8-2A681F275304}" name="March" totalsRowFunction="custom" dataDxfId="577" totalsRowDxfId="576" dataCellStyle="Comma">
      <totalsRowFormula>SUBTOTAL(9,HomeExpenses43748[March])</totalsRowFormula>
    </tableColumn>
    <tableColumn id="5" xr3:uid="{288E5CC6-271E-4F7A-944F-C4C363A0349B}" name="April" totalsRowFunction="custom" dataDxfId="575" totalsRowDxfId="574" dataCellStyle="Comma">
      <totalsRowFormula>SUBTOTAL(9,HomeExpenses43748[April])</totalsRowFormula>
    </tableColumn>
    <tableColumn id="6" xr3:uid="{A4DD9D93-5A3A-4B8E-BAAC-B064E0F9A14B}" name="May" totalsRowFunction="custom" dataDxfId="573" totalsRowDxfId="572" dataCellStyle="Comma">
      <totalsRowFormula>SUBTOTAL(9,HomeExpenses43748[May])</totalsRowFormula>
    </tableColumn>
    <tableColumn id="7" xr3:uid="{21B720C7-7913-460E-8E4C-63F8C2151572}" name="June" totalsRowFunction="custom" dataDxfId="571" totalsRowDxfId="570" dataCellStyle="Comma">
      <totalsRowFormula>SUBTOTAL(9,HomeExpenses43748[June])</totalsRowFormula>
    </tableColumn>
    <tableColumn id="8" xr3:uid="{7ADDB343-0E3C-41D8-A538-CB265023AFDF}" name="July" totalsRowFunction="custom" dataDxfId="569" totalsRowDxfId="568" dataCellStyle="Comma">
      <totalsRowFormula>SUBTOTAL(9,HomeExpenses43748[July])</totalsRowFormula>
    </tableColumn>
    <tableColumn id="9" xr3:uid="{D9C7F2AA-35D3-4497-9B84-C610D1F0EAEC}" name="August" totalsRowFunction="custom" dataDxfId="567" totalsRowDxfId="566" dataCellStyle="Comma">
      <totalsRowFormula>SUBTOTAL(9,HomeExpenses43748[August])</totalsRowFormula>
    </tableColumn>
    <tableColumn id="10" xr3:uid="{90252535-B9D7-48AC-B2A5-1FF252A42B21}" name="September" totalsRowFunction="custom" dataDxfId="565" totalsRowDxfId="564" dataCellStyle="Comma">
      <totalsRowFormula>SUBTOTAL(9,HomeExpenses43748[September])</totalsRowFormula>
    </tableColumn>
    <tableColumn id="11" xr3:uid="{105F95BD-C239-4232-867A-39C52AC82679}" name="October" totalsRowFunction="custom" dataDxfId="563" totalsRowDxfId="562" dataCellStyle="Comma">
      <totalsRowFormula>SUBTOTAL(9,HomeExpenses43748[October])</totalsRowFormula>
    </tableColumn>
    <tableColumn id="12" xr3:uid="{4708DD02-0BA8-488A-9FFF-51FC7312143E}" name="November" totalsRowFunction="custom" dataDxfId="561" totalsRowDxfId="560" dataCellStyle="Comma">
      <totalsRowFormula>SUBTOTAL(9,HomeExpenses43748[November])</totalsRowFormula>
    </tableColumn>
    <tableColumn id="13" xr3:uid="{21975022-64A4-43E6-923C-C9B14B3363BE}" name="December" totalsRowFunction="custom" dataDxfId="559" totalsRowDxfId="558" dataCellStyle="Comma">
      <totalsRowFormula>SUBTOTAL(9,HomeExpenses43748[December])</totalsRowFormula>
    </tableColumn>
  </tableColumns>
  <tableStyleInfo name="V42_Expense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19A4FB4-9EE9-4CC3-A2F7-8302C27CE723}" name="Transportation53849" displayName="Transportation53849" ref="A36:M44" totalsRowCount="1" headerRowDxfId="557" dataDxfId="555" headerRowBorderDxfId="556" tableBorderDxfId="554">
  <tableColumns count="13">
    <tableColumn id="1" xr3:uid="{F5CA3A12-7708-4E43-872E-79134188B6DF}" name="TRANSPORTATION" totalsRowFunction="custom" dataDxfId="553" totalsRowDxfId="552">
      <totalsRowFormula>"Total " &amp; Transportation53849[[#Headers],[TRANSPORTATION]]</totalsRowFormula>
    </tableColumn>
    <tableColumn id="2" xr3:uid="{4C56E432-F3A4-4939-BF78-F248F0660D96}" name="January" totalsRowFunction="custom" dataDxfId="551" totalsRowDxfId="550" dataCellStyle="Comma">
      <totalsRowFormula>SUBTOTAL(9,Transportation53849[January])</totalsRowFormula>
    </tableColumn>
    <tableColumn id="3" xr3:uid="{DFFA0CB1-2B67-4639-94DD-B4072FC34A3B}" name="February" totalsRowFunction="custom" dataDxfId="549" totalsRowDxfId="548" dataCellStyle="Comma">
      <totalsRowFormula>SUBTOTAL(9,Transportation53849[February])</totalsRowFormula>
    </tableColumn>
    <tableColumn id="4" xr3:uid="{3490DCC7-3F45-4EC5-9EB8-C069C680C908}" name="March" totalsRowFunction="custom" dataDxfId="547" totalsRowDxfId="546" dataCellStyle="Comma">
      <totalsRowFormula>SUBTOTAL(9,Transportation53849[March])</totalsRowFormula>
    </tableColumn>
    <tableColumn id="5" xr3:uid="{01949D1E-CD16-4426-860A-60406A8EDF9D}" name="April" totalsRowFunction="custom" dataDxfId="545" totalsRowDxfId="544" dataCellStyle="Comma">
      <totalsRowFormula>SUBTOTAL(9,Transportation53849[April])</totalsRowFormula>
    </tableColumn>
    <tableColumn id="6" xr3:uid="{A599BE5B-B786-41C3-B4C3-945D28F7BBA4}" name="May" totalsRowFunction="custom" dataDxfId="543" totalsRowDxfId="542" dataCellStyle="Comma">
      <totalsRowFormula>SUBTOTAL(9,Transportation53849[May])</totalsRowFormula>
    </tableColumn>
    <tableColumn id="7" xr3:uid="{62704FBD-6177-4959-93EC-AB57E33E22A5}" name="June" totalsRowFunction="custom" dataDxfId="541" totalsRowDxfId="540" dataCellStyle="Comma">
      <totalsRowFormula>SUBTOTAL(9,Transportation53849[June])</totalsRowFormula>
    </tableColumn>
    <tableColumn id="8" xr3:uid="{6D92189E-B122-403D-BB2A-45CD7141247F}" name="July" totalsRowFunction="custom" dataDxfId="539" totalsRowDxfId="538" dataCellStyle="Comma">
      <totalsRowFormula>SUBTOTAL(9,Transportation53849[July])</totalsRowFormula>
    </tableColumn>
    <tableColumn id="9" xr3:uid="{83256EA4-9180-4443-BD4A-E762696EE237}" name="August" totalsRowFunction="custom" dataDxfId="537" totalsRowDxfId="536">
      <totalsRowFormula>SUBTOTAL(9,Transportation53849[August])</totalsRowFormula>
    </tableColumn>
    <tableColumn id="10" xr3:uid="{C895FA16-E7A2-4DA7-B496-790EBE3301E6}" name="September" totalsRowFunction="custom" dataDxfId="535" totalsRowDxfId="534">
      <totalsRowFormula>SUBTOTAL(9,Transportation53849[September])</totalsRowFormula>
    </tableColumn>
    <tableColumn id="11" xr3:uid="{4B1BD8B4-1787-41F9-AF18-D0EB83048D4D}" name="October" totalsRowFunction="custom" dataDxfId="533" totalsRowDxfId="532">
      <totalsRowFormula>SUBTOTAL(9,Transportation53849[October])</totalsRowFormula>
    </tableColumn>
    <tableColumn id="12" xr3:uid="{DC2A7D60-C158-4FF2-AA65-B63FA843BE26}" name="November" totalsRowFunction="custom" dataDxfId="531" totalsRowDxfId="530">
      <totalsRowFormula>SUBTOTAL(9,Transportation53849[November])</totalsRowFormula>
    </tableColumn>
    <tableColumn id="13" xr3:uid="{552C7503-5CBE-4998-9B96-1315E0FF4DDB}" name="December" totalsRowFunction="custom" dataDxfId="529" totalsRowDxfId="528">
      <totalsRowFormula>SUBTOTAL(9,Transportation53849[December])</totalsRowFormula>
    </tableColumn>
  </tableColumns>
  <tableStyleInfo name="V42_ExpenseTable" showFirstColumn="1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897DE26F-FA72-45B0-8451-7DEFB04977A3}" name="Health103950" displayName="Health103950" ref="A46:M54" totalsRowCount="1" headerRowDxfId="527" dataDxfId="525" headerRowBorderDxfId="526" tableBorderDxfId="524">
  <tableColumns count="13">
    <tableColumn id="1" xr3:uid="{5C5A9718-5796-4B46-8596-7A79BDF826BF}" name="HEALTH" totalsRowFunction="custom" dataDxfId="523" totalsRowDxfId="522">
      <totalsRowFormula>"Total " &amp; Health103950[[#Headers],[HEALTH]]</totalsRowFormula>
    </tableColumn>
    <tableColumn id="2" xr3:uid="{DFB1F733-2B99-40CE-9590-5CB3D234C03F}" name="January" totalsRowFunction="custom" dataDxfId="521" totalsRowDxfId="520" dataCellStyle="Comma">
      <totalsRowFormula>SUBTOTAL(9,Health103950[January])</totalsRowFormula>
    </tableColumn>
    <tableColumn id="3" xr3:uid="{5A88FC0E-8F82-44FD-B69C-1DAE2D6F4C2E}" name="February" totalsRowFunction="custom" dataDxfId="519" totalsRowDxfId="518" dataCellStyle="Comma">
      <totalsRowFormula>SUBTOTAL(9,Health103950[February])</totalsRowFormula>
    </tableColumn>
    <tableColumn id="4" xr3:uid="{6ECD0DC0-212C-4B97-B2D3-2E4E995648DE}" name="March" totalsRowFunction="custom" dataDxfId="517" totalsRowDxfId="516" dataCellStyle="Comma">
      <totalsRowFormula>SUBTOTAL(9,Health103950[March])</totalsRowFormula>
    </tableColumn>
    <tableColumn id="5" xr3:uid="{EC8980EF-7AF8-487B-B008-836FD1C12D0C}" name="April" totalsRowFunction="custom" dataDxfId="515" totalsRowDxfId="514">
      <totalsRowFormula>SUBTOTAL(9,Health103950[April])</totalsRowFormula>
    </tableColumn>
    <tableColumn id="6" xr3:uid="{62666B95-37BA-4B26-840B-5714716A66AF}" name="May" totalsRowFunction="custom" dataDxfId="513" totalsRowDxfId="512">
      <totalsRowFormula>SUBTOTAL(9,Health103950[May])</totalsRowFormula>
    </tableColumn>
    <tableColumn id="7" xr3:uid="{DC3CDB88-EB1E-4748-81C6-A3E3D5EADF64}" name="June" totalsRowFunction="custom" dataDxfId="511" totalsRowDxfId="510">
      <totalsRowFormula>SUBTOTAL(9,Health103950[June])</totalsRowFormula>
    </tableColumn>
    <tableColumn id="8" xr3:uid="{540E0F05-5BD4-45AC-8F28-5C3938A66F81}" name="July" totalsRowFunction="custom" dataDxfId="509" totalsRowDxfId="508">
      <totalsRowFormula>SUBTOTAL(9,Health103950[July])</totalsRowFormula>
    </tableColumn>
    <tableColumn id="9" xr3:uid="{122CB946-0A58-4063-BAAE-69897B0D2CA9}" name="August" totalsRowFunction="custom" dataDxfId="507" totalsRowDxfId="506">
      <totalsRowFormula>SUBTOTAL(9,Health103950[August])</totalsRowFormula>
    </tableColumn>
    <tableColumn id="10" xr3:uid="{469B266E-1DAB-4325-B971-03B8FD17DCE2}" name="September" totalsRowFunction="custom" dataDxfId="505" totalsRowDxfId="504">
      <totalsRowFormula>SUBTOTAL(9,Health103950[September])</totalsRowFormula>
    </tableColumn>
    <tableColumn id="11" xr3:uid="{905BF554-3D61-43C3-9411-FB3256AEDCE3}" name="October" totalsRowFunction="custom" dataDxfId="503" totalsRowDxfId="502">
      <totalsRowFormula>SUBTOTAL(9,Health103950[October])</totalsRowFormula>
    </tableColumn>
    <tableColumn id="12" xr3:uid="{A9B154D5-C2C4-4A91-8108-506B93C51EEE}" name="November" totalsRowFunction="custom" dataDxfId="501" totalsRowDxfId="500">
      <totalsRowFormula>SUBTOTAL(9,Health103950[November])</totalsRowFormula>
    </tableColumn>
    <tableColumn id="13" xr3:uid="{C4A46114-2E21-4B8A-AAEF-7C3C0A0C9DAB}" name="December" totalsRowFunction="custom" dataDxfId="499" totalsRowDxfId="498">
      <totalsRowFormula>SUBTOTAL(9,Health103950[December])</totalsRowFormula>
    </tableColumn>
  </tableColumns>
  <tableStyleInfo name="V42_Expense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08E89E9-F702-4932-A104-C2E891335202}" name="Gifts124051" displayName="Gifts124051" ref="A56:M60" totalsRowCount="1" headerRowDxfId="497" dataDxfId="495" headerRowBorderDxfId="496" tableBorderDxfId="494">
  <tableColumns count="13">
    <tableColumn id="1" xr3:uid="{B8866937-FB72-48A8-83AF-18EBB6C0B4CB}" name="CHARITY/GIFTS" totalsRowFunction="custom" dataDxfId="493" totalsRowDxfId="492">
      <totalsRowFormula>"Total " &amp; Gifts124051[[#Headers],[CHARITY/GIFTS]]</totalsRowFormula>
    </tableColumn>
    <tableColumn id="2" xr3:uid="{422AE637-D3FF-4FA9-A7F2-DD1D516F814D}" name="January" totalsRowFunction="custom" dataDxfId="491" totalsRowDxfId="490" dataCellStyle="Comma">
      <totalsRowFormula>SUBTOTAL(9,Gifts124051[January])</totalsRowFormula>
    </tableColumn>
    <tableColumn id="3" xr3:uid="{3656CBFD-D2B0-45D1-8FBB-FF36123DA65D}" name="February" totalsRowFunction="custom" dataDxfId="489" totalsRowDxfId="488" dataCellStyle="Comma">
      <calculatedColumnFormula>16.59+25.49</calculatedColumnFormula>
      <totalsRowFormula>SUBTOTAL(9,Gifts124051[February])</totalsRowFormula>
    </tableColumn>
    <tableColumn id="4" xr3:uid="{323992C4-97BC-45BF-8BCA-3F0760B59DCA}" name="March" totalsRowFunction="custom" dataDxfId="487" totalsRowDxfId="486" dataCellStyle="Comma">
      <totalsRowFormula>SUBTOTAL(9,Gifts124051[March])</totalsRowFormula>
    </tableColumn>
    <tableColumn id="5" xr3:uid="{386E0E1E-BFA8-4732-A447-954B352946F7}" name="April" totalsRowFunction="custom" dataDxfId="485" totalsRowDxfId="484">
      <totalsRowFormula>SUBTOTAL(9,Gifts124051[April])</totalsRowFormula>
    </tableColumn>
    <tableColumn id="6" xr3:uid="{3AB4982A-8A79-41D0-A4F9-95E61C16567F}" name="May" totalsRowFunction="custom" dataDxfId="483" totalsRowDxfId="482">
      <totalsRowFormula>SUBTOTAL(9,Gifts124051[May])</totalsRowFormula>
    </tableColumn>
    <tableColumn id="7" xr3:uid="{08F3F8A3-B813-4BA0-9EEC-B8A25D1C3AF8}" name="June" totalsRowFunction="custom" dataDxfId="481" totalsRowDxfId="480">
      <totalsRowFormula>SUBTOTAL(9,Gifts124051[June])</totalsRowFormula>
    </tableColumn>
    <tableColumn id="8" xr3:uid="{812C83DD-69C3-426C-892C-0FC298D8828F}" name="July" totalsRowFunction="custom" dataDxfId="479" totalsRowDxfId="478">
      <calculatedColumnFormula>16.59+25.49</calculatedColumnFormula>
      <totalsRowFormula>SUBTOTAL(9,Gifts124051[July])</totalsRowFormula>
    </tableColumn>
    <tableColumn id="9" xr3:uid="{2948E3CD-C7B2-4031-B81A-249351CB0EC6}" name="August" totalsRowFunction="custom" dataDxfId="477" totalsRowDxfId="476">
      <totalsRowFormula>SUBTOTAL(9,Gifts124051[August])</totalsRowFormula>
    </tableColumn>
    <tableColumn id="10" xr3:uid="{1DFA72D0-1503-438D-85CA-5FF70999F6D2}" name="September" totalsRowFunction="custom" dataDxfId="475" totalsRowDxfId="474">
      <totalsRowFormula>SUBTOTAL(9,Gifts124051[September])</totalsRowFormula>
    </tableColumn>
    <tableColumn id="11" xr3:uid="{5A326518-5D49-45B5-BCEB-7DBB3C5B412E}" name="October" totalsRowFunction="custom" dataDxfId="473" totalsRowDxfId="472">
      <totalsRowFormula>SUBTOTAL(9,Gifts124051[October])</totalsRowFormula>
    </tableColumn>
    <tableColumn id="12" xr3:uid="{F81E271C-16DF-493D-8220-8FD699EC236F}" name="November" totalsRowFunction="custom" dataDxfId="471" totalsRowDxfId="470">
      <totalsRowFormula>SUBTOTAL(9,Gifts124051[November])</totalsRowFormula>
    </tableColumn>
    <tableColumn id="13" xr3:uid="{93D89AE3-E959-4A95-85BD-C519534AFFA6}" name="December" totalsRowFunction="custom" dataDxfId="469" totalsRowDxfId="468">
      <totalsRowFormula>SUBTOTAL(9,Gifts124051[December])</totalsRowFormula>
    </tableColumn>
  </tableColumns>
  <tableStyleInfo name="V42_Expense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BDF5336-B0B2-44B1-87A8-9FFE8507FA47}" name="DailyLiving134152" displayName="DailyLiving134152" ref="A62:M73" totalsRowCount="1" headerRowDxfId="467" dataDxfId="465" headerRowBorderDxfId="466" tableBorderDxfId="464">
  <tableColumns count="13">
    <tableColumn id="1" xr3:uid="{4218FC36-712C-46CA-ABB3-69DA734727D4}" name="DAILY LIVING" totalsRowFunction="custom" dataDxfId="463" totalsRowDxfId="462">
      <totalsRowFormula>"Total " &amp; DailyLiving134152[[#Headers],[DAILY LIVING]]</totalsRowFormula>
    </tableColumn>
    <tableColumn id="2" xr3:uid="{319EFE04-E125-436E-B69F-41A8062DE721}" name="January" totalsRowFunction="custom" dataDxfId="461" totalsRowDxfId="460" dataCellStyle="Comma">
      <totalsRowFormula>SUBTOTAL(9,DailyLiving134152[January])</totalsRowFormula>
    </tableColumn>
    <tableColumn id="3" xr3:uid="{E241413C-5B97-4064-A29A-79F13B93CC8F}" name="February" totalsRowFunction="custom" dataDxfId="459" totalsRowDxfId="458" dataCellStyle="Comma">
      <totalsRowFormula>SUBTOTAL(9,DailyLiving134152[February])</totalsRowFormula>
    </tableColumn>
    <tableColumn id="4" xr3:uid="{99200D03-F048-4DA5-8FA9-B1075D6044C5}" name="March" totalsRowFunction="custom" dataDxfId="457" totalsRowDxfId="456" dataCellStyle="Comma">
      <totalsRowFormula>SUBTOTAL(9,DailyLiving134152[March])</totalsRowFormula>
    </tableColumn>
    <tableColumn id="5" xr3:uid="{6F02AA24-59DB-44F2-B590-14CA26510F58}" name="April" totalsRowFunction="custom" dataDxfId="455" totalsRowDxfId="454" dataCellStyle="Comma">
      <totalsRowFormula>SUBTOTAL(9,DailyLiving134152[April])</totalsRowFormula>
    </tableColumn>
    <tableColumn id="6" xr3:uid="{94D56263-D3C7-44D3-82D7-D88D14292102}" name="May" totalsRowFunction="custom" dataDxfId="453" totalsRowDxfId="452" dataCellStyle="Comma">
      <totalsRowFormula>SUBTOTAL(9,DailyLiving134152[May])</totalsRowFormula>
    </tableColumn>
    <tableColumn id="7" xr3:uid="{E5FA1A76-55ED-4D0E-9D62-4137AEC15DEE}" name="June" totalsRowFunction="custom" dataDxfId="451" totalsRowDxfId="450" dataCellStyle="Comma">
      <totalsRowFormula>SUBTOTAL(9,DailyLiving134152[June])</totalsRowFormula>
    </tableColumn>
    <tableColumn id="8" xr3:uid="{A067C782-AF47-46CC-A800-3304A02A82A5}" name="July" totalsRowFunction="custom" dataDxfId="449" totalsRowDxfId="448" dataCellStyle="Comma">
      <totalsRowFormula>SUBTOTAL(9,DailyLiving134152[July])</totalsRowFormula>
    </tableColumn>
    <tableColumn id="9" xr3:uid="{17EF10D6-CE03-456F-AB7B-FE0495D322E7}" name="August" totalsRowFunction="custom" dataDxfId="447" totalsRowDxfId="446">
      <totalsRowFormula>SUBTOTAL(9,DailyLiving134152[August])</totalsRowFormula>
    </tableColumn>
    <tableColumn id="10" xr3:uid="{3C535F65-C6F8-456C-9848-2B504ABEA09A}" name="September" totalsRowFunction="custom" dataDxfId="445" totalsRowDxfId="444">
      <totalsRowFormula>SUBTOTAL(9,DailyLiving134152[September])</totalsRowFormula>
    </tableColumn>
    <tableColumn id="11" xr3:uid="{130ACED0-CBB3-41C4-B8C1-9B358C8584FC}" name="October" totalsRowFunction="custom" dataDxfId="443" totalsRowDxfId="442">
      <totalsRowFormula>SUBTOTAL(9,DailyLiving134152[October])</totalsRowFormula>
    </tableColumn>
    <tableColumn id="12" xr3:uid="{4716F919-4D6C-497D-A77D-0559F1D83115}" name="November" totalsRowFunction="custom" dataDxfId="441" totalsRowDxfId="440">
      <totalsRowFormula>SUBTOTAL(9,DailyLiving134152[November])</totalsRowFormula>
    </tableColumn>
    <tableColumn id="13" xr3:uid="{D5709449-1DFB-41F9-8E4E-E6948890900E}" name="December" totalsRowFunction="custom" dataDxfId="439" totalsRowDxfId="438">
      <totalsRowFormula>SUBTOTAL(9,DailyLiving134152[December])</totalsRowFormula>
    </tableColumn>
  </tableColumns>
  <tableStyleInfo name="V42_ExpenseTable" showFirstColumn="1" showLastColumn="1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FC4ABD-DA78-43C7-8459-52D0C3B3DF93}" name="Entertainment144253" displayName="Entertainment144253" ref="A75:M89" totalsRowCount="1" headerRowDxfId="437" dataDxfId="435" headerRowBorderDxfId="436" tableBorderDxfId="434">
  <tableColumns count="13">
    <tableColumn id="1" xr3:uid="{3B5B9728-B55A-4762-B052-7CB6214FBE2B}" name="ENTERTAINMENT" totalsRowLabel="Total ENTERTAINMENT" dataDxfId="433" totalsRowDxfId="432"/>
    <tableColumn id="2" xr3:uid="{49FD7D8B-84D9-4C14-AB25-C6D7E417D5E7}" name="January" totalsRowFunction="custom" dataDxfId="431" totalsRowDxfId="430" dataCellStyle="Comma">
      <totalsRowFormula>SUBTOTAL(9,Entertainment144253[January])</totalsRowFormula>
    </tableColumn>
    <tableColumn id="3" xr3:uid="{6171244B-2D35-4519-9B7F-C4A59EBF7146}" name="February" totalsRowFunction="custom" dataDxfId="429" totalsRowDxfId="428" dataCellStyle="Comma">
      <totalsRowFormula>SUBTOTAL(9,Entertainment144253[February])</totalsRowFormula>
    </tableColumn>
    <tableColumn id="4" xr3:uid="{268BEA2C-0335-4101-AA8A-A78665F761F8}" name="March" totalsRowFunction="custom" dataDxfId="427" totalsRowDxfId="426" dataCellStyle="Comma">
      <totalsRowFormula>SUBTOTAL(9,Entertainment144253[March])</totalsRowFormula>
    </tableColumn>
    <tableColumn id="5" xr3:uid="{A543FD23-4E3B-4E09-B611-ACB556C5D907}" name="April" totalsRowFunction="custom" dataDxfId="425" totalsRowDxfId="424">
      <totalsRowFormula>SUBTOTAL(9,Entertainment144253[April])</totalsRowFormula>
    </tableColumn>
    <tableColumn id="6" xr3:uid="{57E35EB8-A688-4D64-81BC-8240332F0D89}" name="May" totalsRowFunction="custom" dataDxfId="423" totalsRowDxfId="422">
      <totalsRowFormula>SUBTOTAL(9,Entertainment144253[May])</totalsRowFormula>
    </tableColumn>
    <tableColumn id="7" xr3:uid="{6287F185-0CC8-4FBA-8D00-AC2AED0CDE87}" name="June" totalsRowFunction="custom" dataDxfId="421" totalsRowDxfId="420" dataCellStyle="Comma">
      <totalsRowFormula>SUBTOTAL(9,Entertainment144253[June])</totalsRowFormula>
    </tableColumn>
    <tableColumn id="8" xr3:uid="{70545EBC-1440-49CC-87D1-28D55E5B83DE}" name="July" totalsRowFunction="custom" dataDxfId="419" totalsRowDxfId="418" dataCellStyle="Comma">
      <totalsRowFormula>SUBTOTAL(9,Entertainment144253[July])</totalsRowFormula>
    </tableColumn>
    <tableColumn id="9" xr3:uid="{D29E441A-69A3-400E-BF7A-B55F56FB6561}" name="August" totalsRowFunction="custom" dataDxfId="417" totalsRowDxfId="416">
      <totalsRowFormula>SUBTOTAL(9,Entertainment144253[August])</totalsRowFormula>
    </tableColumn>
    <tableColumn id="10" xr3:uid="{7CB3AE95-23E4-4989-A8C8-77DD21EF99A6}" name="September" totalsRowFunction="custom" dataDxfId="415" totalsRowDxfId="414">
      <totalsRowFormula>SUBTOTAL(9,Entertainment144253[September])</totalsRowFormula>
    </tableColumn>
    <tableColumn id="11" xr3:uid="{9425A686-3E9A-4285-A32C-372805F58098}" name="October" totalsRowFunction="custom" dataDxfId="413" totalsRowDxfId="412">
      <totalsRowFormula>SUBTOTAL(9,Entertainment144253[October])</totalsRowFormula>
    </tableColumn>
    <tableColumn id="12" xr3:uid="{0E243704-9BFD-4981-839B-DC6EC8772455}" name="November" totalsRowFunction="custom" dataDxfId="411" totalsRowDxfId="410">
      <totalsRowFormula>SUBTOTAL(9,Entertainment144253[November])</totalsRowFormula>
    </tableColumn>
    <tableColumn id="13" xr3:uid="{52593F74-D72C-4482-B096-E1B907832E10}" name="December" totalsRowFunction="custom" dataDxfId="409" totalsRowDxfId="408">
      <totalsRowFormula>SUBTOTAL(9,Entertainment144253[December])</totalsRowFormula>
    </tableColumn>
  </tableColumns>
  <tableStyleInfo name="V42_ExpenseTable" showFirstColumn="1" showLastColumn="1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5DA59DD4-A3E0-4BE3-8CDF-91DD0578C92B}" name="Savings214354" displayName="Savings214354" ref="A91:M96" totalsRowCount="1" headerRowDxfId="407" dataDxfId="405" headerRowBorderDxfId="406" tableBorderDxfId="404">
  <tableColumns count="13">
    <tableColumn id="1" xr3:uid="{CABE4CD8-B887-4694-95E0-55A3AF2CEC56}" name="SAVINGS" totalsRowFunction="custom" dataDxfId="403" totalsRowDxfId="402">
      <totalsRowFormula>"Total " &amp; Savings214354[[#Headers],[SAVINGS]]</totalsRowFormula>
    </tableColumn>
    <tableColumn id="2" xr3:uid="{B660D99A-66C1-47E4-95FA-B61DDC8E5C71}" name="January" totalsRowFunction="custom" dataDxfId="401" totalsRowDxfId="400">
      <totalsRowFormula>SUBTOTAL(9,Savings214354[January])</totalsRowFormula>
    </tableColumn>
    <tableColumn id="3" xr3:uid="{16BDA19E-6715-4788-872E-CE8237380585}" name="February" totalsRowFunction="custom" dataDxfId="399" totalsRowDxfId="398">
      <totalsRowFormula>SUBTOTAL(9,Savings214354[February])</totalsRowFormula>
    </tableColumn>
    <tableColumn id="4" xr3:uid="{CAA39CE3-F778-49B4-893E-1F5BC31CD0C4}" name="March" totalsRowFunction="custom" dataDxfId="397" totalsRowDxfId="396" dataCellStyle="Comma">
      <totalsRowFormula>SUBTOTAL(9,Savings214354[March])</totalsRowFormula>
    </tableColumn>
    <tableColumn id="5" xr3:uid="{9848A0A0-8AD7-4B9B-BFCE-72ECE98A06F8}" name="April" totalsRowFunction="custom" dataDxfId="395" totalsRowDxfId="394">
      <totalsRowFormula>SUBTOTAL(9,Savings214354[April])</totalsRowFormula>
    </tableColumn>
    <tableColumn id="6" xr3:uid="{51665694-420D-4472-AF23-0D399F18486E}" name="May" totalsRowFunction="custom" dataDxfId="393" totalsRowDxfId="392">
      <totalsRowFormula>SUBTOTAL(9,Savings214354[May])</totalsRowFormula>
    </tableColumn>
    <tableColumn id="7" xr3:uid="{69B25110-CFEA-4B38-83DB-465258D31B63}" name="June" totalsRowFunction="custom" dataDxfId="391" totalsRowDxfId="390" dataCellStyle="Comma">
      <totalsRowFormula>SUBTOTAL(9,Savings214354[June])</totalsRowFormula>
    </tableColumn>
    <tableColumn id="8" xr3:uid="{36A78D80-0323-4D4D-B717-D34E02D57B19}" name="July" totalsRowFunction="custom" dataDxfId="389" totalsRowDxfId="388" dataCellStyle="Comma">
      <totalsRowFormula>SUBTOTAL(9,Savings214354[July])</totalsRowFormula>
    </tableColumn>
    <tableColumn id="9" xr3:uid="{1A6D340E-AE50-4EC3-81EE-03E6BFF7257D}" name="August" totalsRowFunction="custom" dataDxfId="387" totalsRowDxfId="386">
      <totalsRowFormula>SUBTOTAL(9,Savings214354[August])</totalsRowFormula>
    </tableColumn>
    <tableColumn id="10" xr3:uid="{10E70379-0E34-49CC-AE12-9067A7468D19}" name="September" totalsRowFunction="custom" dataDxfId="385" totalsRowDxfId="384">
      <totalsRowFormula>SUBTOTAL(9,Savings214354[September])</totalsRowFormula>
    </tableColumn>
    <tableColumn id="11" xr3:uid="{C7D5F463-653B-4CFF-960B-197E893C94BE}" name="October" totalsRowFunction="custom" dataDxfId="383" totalsRowDxfId="382">
      <totalsRowFormula>SUBTOTAL(9,Savings214354[October])</totalsRowFormula>
    </tableColumn>
    <tableColumn id="12" xr3:uid="{03896312-834A-494E-8DE7-6840B789A778}" name="November" totalsRowFunction="custom" dataDxfId="381" totalsRowDxfId="380">
      <totalsRowFormula>SUBTOTAL(9,Savings214354[November])</totalsRowFormula>
    </tableColumn>
    <tableColumn id="13" xr3:uid="{180F2915-025E-423C-BAE2-2DB343874B7E}" name="December" totalsRowFunction="custom" dataDxfId="379" totalsRowDxfId="378">
      <totalsRowFormula>SUBTOTAL(9,Savings214354[December])</totalsRowFormula>
    </tableColumn>
  </tableColumns>
  <tableStyleInfo name="V42_ExpenseTable" showFirstColumn="1" showLastColumn="1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0156201-636E-431D-B0B4-3B605C080CE2}" name="Obligations224455" displayName="Obligations224455" ref="A98:M105" totalsRowCount="1" headerRowDxfId="377" dataDxfId="375" headerRowBorderDxfId="376">
  <tableColumns count="13">
    <tableColumn id="1" xr3:uid="{2F432140-54F5-4F47-B133-7CEEB3DE90F1}" name="OBLIGATIONS" totalsRowFunction="custom" dataDxfId="374" totalsRowDxfId="373">
      <totalsRowFormula>"Total " &amp; Obligations224455[[#Headers],[OBLIGATIONS]]</totalsRowFormula>
    </tableColumn>
    <tableColumn id="2" xr3:uid="{E604C1C2-6FC4-491E-9E5A-5C96E0D16D1A}" name="January" totalsRowFunction="custom" dataDxfId="372" totalsRowDxfId="371" dataCellStyle="Comma">
      <totalsRowFormula>SUBTOTAL(9,Obligations224455[January])</totalsRowFormula>
    </tableColumn>
    <tableColumn id="3" xr3:uid="{F9558FA7-D52C-45D2-937F-B0530D940BE5}" name="February" totalsRowFunction="custom" dataDxfId="370" totalsRowDxfId="369" dataCellStyle="Comma">
      <totalsRowFormula>SUBTOTAL(9,Obligations224455[February])</totalsRowFormula>
    </tableColumn>
    <tableColumn id="4" xr3:uid="{043AE0D0-4FD2-46C3-A657-B5D44F708E57}" name="March" totalsRowFunction="custom" dataDxfId="368" totalsRowDxfId="367" dataCellStyle="Comma">
      <totalsRowFormula>SUBTOTAL(9,Obligations224455[March])</totalsRowFormula>
    </tableColumn>
    <tableColumn id="5" xr3:uid="{D14C80B7-AA85-42F9-B30D-FC218E557CFC}" name="April" totalsRowFunction="custom" dataDxfId="366" totalsRowDxfId="365">
      <totalsRowFormula>SUBTOTAL(9,Obligations224455[April])</totalsRowFormula>
    </tableColumn>
    <tableColumn id="6" xr3:uid="{33A4CDA7-445B-464F-8C2E-8EB88D8F0317}" name="May" totalsRowFunction="custom" dataDxfId="364" totalsRowDxfId="363">
      <totalsRowFormula>SUBTOTAL(9,Obligations224455[May])</totalsRowFormula>
    </tableColumn>
    <tableColumn id="7" xr3:uid="{88D4FBCA-2F1C-425D-974C-AAC7C21349F3}" name="June" totalsRowFunction="custom" dataDxfId="362" totalsRowDxfId="361">
      <totalsRowFormula>SUBTOTAL(9,Obligations224455[June])</totalsRowFormula>
    </tableColumn>
    <tableColumn id="8" xr3:uid="{0F68C4A8-7E27-4CD4-85AB-17A68CF2AB81}" name="July" totalsRowFunction="custom" dataDxfId="360" totalsRowDxfId="359">
      <totalsRowFormula>SUBTOTAL(9,Obligations224455[July])</totalsRowFormula>
    </tableColumn>
    <tableColumn id="9" xr3:uid="{F80911AA-246F-4345-991B-C7383AC1D69C}" name="August" totalsRowFunction="custom" dataDxfId="358" totalsRowDxfId="357">
      <totalsRowFormula>SUBTOTAL(9,Obligations224455[August])</totalsRowFormula>
    </tableColumn>
    <tableColumn id="10" xr3:uid="{8E18E2E1-9B4C-4272-B010-3664116872CE}" name="September" totalsRowFunction="custom" dataDxfId="356" totalsRowDxfId="355">
      <totalsRowFormula>SUBTOTAL(9,Obligations224455[September])</totalsRowFormula>
    </tableColumn>
    <tableColumn id="11" xr3:uid="{2B886316-0F62-461B-B83A-6F545198DE31}" name="October" totalsRowFunction="custom" dataDxfId="354" totalsRowDxfId="353">
      <totalsRowFormula>SUBTOTAL(9,Obligations224455[October])</totalsRowFormula>
    </tableColumn>
    <tableColumn id="12" xr3:uid="{B666FA53-1540-49BC-8C68-59842A0126B8}" name="November" totalsRowFunction="custom" dataDxfId="352" totalsRowDxfId="351">
      <totalsRowFormula>SUBTOTAL(9,Obligations224455[November])</totalsRowFormula>
    </tableColumn>
    <tableColumn id="13" xr3:uid="{411DE28C-A54C-482F-A87C-A9C740042A04}" name="December" totalsRowFunction="custom" dataDxfId="350" totalsRowDxfId="349">
      <totalsRowFormula>SUBTOTAL(9,Obligations224455[December])</totalsRowFormula>
    </tableColumn>
  </tableColumns>
  <tableStyleInfo name="V42_ExpenseTable" showFirstColumn="1" showLastColumn="1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635CAFE-143E-4081-8B83-B6CBAF282F04}" name="Miscellaneous234556" displayName="Miscellaneous234556" ref="A107:M110" totalsRowCount="1" headerRowDxfId="348" dataDxfId="346" headerRowBorderDxfId="347" tableBorderDxfId="345">
  <tableColumns count="13">
    <tableColumn id="1" xr3:uid="{51854DF4-F12A-4A59-9DE8-65E221F17AE9}" name="MISCELLANEOUS" totalsRowFunction="custom" dataDxfId="344" totalsRowDxfId="343">
      <totalsRowFormula>"Total " &amp; Miscellaneous234556[[#Headers],[MISCELLANEOUS]]</totalsRowFormula>
    </tableColumn>
    <tableColumn id="2" xr3:uid="{7C86B5CA-130D-4439-A664-15CE6D2317AA}" name="January" totalsRowFunction="custom" dataDxfId="342" totalsRowDxfId="341" dataCellStyle="Comma">
      <totalsRowFormula>SUBTOTAL(9,Miscellaneous234556[January])</totalsRowFormula>
    </tableColumn>
    <tableColumn id="3" xr3:uid="{52C39CCC-F275-4FA2-8E01-73E23567CB43}" name="February" totalsRowFunction="custom" dataDxfId="340" totalsRowDxfId="339" dataCellStyle="Comma">
      <totalsRowFormula>SUBTOTAL(9,Miscellaneous234556[February])</totalsRowFormula>
    </tableColumn>
    <tableColumn id="4" xr3:uid="{25224EC3-06F9-4FBD-84FD-2F62D538920A}" name="March" totalsRowFunction="custom" dataDxfId="338" totalsRowDxfId="337" dataCellStyle="Comma">
      <totalsRowFormula>SUBTOTAL(9,Miscellaneous234556[March])</totalsRowFormula>
    </tableColumn>
    <tableColumn id="5" xr3:uid="{7936FC35-4E17-44BC-8A74-E019CDFE05D1}" name="April" totalsRowFunction="custom" dataDxfId="336" totalsRowDxfId="335" dataCellStyle="Comma">
      <totalsRowFormula>SUBTOTAL(9,Miscellaneous234556[April])</totalsRowFormula>
    </tableColumn>
    <tableColumn id="6" xr3:uid="{6E7582CA-DA01-49EF-8F90-229DDD44A48F}" name="May" totalsRowFunction="custom" dataDxfId="334" totalsRowDxfId="333" dataCellStyle="Comma">
      <totalsRowFormula>SUBTOTAL(9,Miscellaneous234556[May])</totalsRowFormula>
    </tableColumn>
    <tableColumn id="7" xr3:uid="{6FF496A5-DED3-45B6-90A6-01F6353EFA24}" name="June" totalsRowFunction="custom" dataDxfId="332" totalsRowDxfId="331" dataCellStyle="Comma">
      <totalsRowFormula>SUBTOTAL(9,Miscellaneous234556[June])</totalsRowFormula>
    </tableColumn>
    <tableColumn id="8" xr3:uid="{7D7856DE-107A-4597-A434-D5210BED74CC}" name="July" totalsRowFunction="custom" dataDxfId="330" totalsRowDxfId="329" dataCellStyle="Comma">
      <totalsRowFormula>SUBTOTAL(9,Miscellaneous234556[July])</totalsRowFormula>
    </tableColumn>
    <tableColumn id="9" xr3:uid="{44EE4915-C76F-48A2-998D-E510100A6F47}" name="August" totalsRowFunction="custom" dataDxfId="328" totalsRowDxfId="327">
      <totalsRowFormula>SUBTOTAL(9,Miscellaneous234556[August])</totalsRowFormula>
    </tableColumn>
    <tableColumn id="10" xr3:uid="{85923859-C39F-411B-8E58-3B38B084F0F0}" name="September" totalsRowFunction="custom" dataDxfId="326" totalsRowDxfId="325">
      <totalsRowFormula>SUBTOTAL(9,Miscellaneous234556[September])</totalsRowFormula>
    </tableColumn>
    <tableColumn id="11" xr3:uid="{FEC4D2ED-B517-46FA-9C21-24C730D1B773}" name="October" totalsRowFunction="custom" dataDxfId="324" totalsRowDxfId="323">
      <totalsRowFormula>SUBTOTAL(9,Miscellaneous234556[October])</totalsRowFormula>
    </tableColumn>
    <tableColumn id="12" xr3:uid="{E5C9BF63-ABBD-43CE-9A71-EAF5CB978F4A}" name="November" totalsRowFunction="custom" dataDxfId="322" totalsRowDxfId="321">
      <totalsRowFormula>SUBTOTAL(9,Miscellaneous234556[November])</totalsRowFormula>
    </tableColumn>
    <tableColumn id="13" xr3:uid="{F24819CA-6FB9-4548-B87C-0DFF55D82213}" name="December" totalsRowFunction="custom" dataDxfId="320" totalsRowDxfId="319">
      <totalsRowFormula>SUBTOTAL(9,Miscellaneous234556[December])</totalsRowFormula>
    </tableColumn>
  </tableColumns>
  <tableStyleInfo name="V42_ExpenseTable" showFirstColumn="1" showLastColumn="1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C48D83-8F2A-4C29-8080-256A32C40ADD}" name="BudgetSummary235466" displayName="BudgetSummary235466" ref="A4:M7" totalsRowCount="1" headerRowDxfId="312">
  <autoFilter ref="A4:M6" xr:uid="{D6C48D83-8F2A-4C29-8080-256A32C40ADD}"/>
  <tableColumns count="13">
    <tableColumn id="1" xr3:uid="{99E8FB5C-150D-4FCC-B678-B7A1B8247D04}" name="BUDGET SUMMARY" totalsRowLabel="NET BY MONTH"/>
    <tableColumn id="2" xr3:uid="{0D891125-D7A6-4FAB-A6CE-25D3D29F2296}" name="January" totalsRowFunction="custom" dataDxfId="311" totalsRowDxfId="310">
      <calculatedColumnFormula>SUBTOTAL(9,#REF!)</calculatedColumnFormula>
      <totalsRowFormula>B5-B6</totalsRowFormula>
    </tableColumn>
    <tableColumn id="3" xr3:uid="{A4711342-5962-42AA-913B-DD2719C632D8}" name="February" totalsRowFunction="custom" totalsRowDxfId="309">
      <totalsRowFormula>C5-C6</totalsRowFormula>
    </tableColumn>
    <tableColumn id="4" xr3:uid="{F89E5D8D-EBEC-42A7-B855-C47BE50D82E6}" name="March" totalsRowFunction="custom" totalsRowDxfId="308">
      <totalsRowFormula>D5-D6</totalsRowFormula>
    </tableColumn>
    <tableColumn id="5" xr3:uid="{06715D86-8419-4A3A-89CD-29D8DCFE3470}" name="April" totalsRowFunction="custom" totalsRowDxfId="307">
      <totalsRowFormula>E5-E6</totalsRowFormula>
    </tableColumn>
    <tableColumn id="6" xr3:uid="{B6997759-C24A-46A7-B857-2D6173F13C77}" name="May" totalsRowFunction="custom" totalsRowDxfId="306">
      <totalsRowFormula>F5-F6</totalsRowFormula>
    </tableColumn>
    <tableColumn id="7" xr3:uid="{D3925CB3-492A-4194-999D-A77E2954EC0A}" name="June" totalsRowFunction="custom" totalsRowDxfId="305">
      <totalsRowFormula>G5-G6</totalsRowFormula>
    </tableColumn>
    <tableColumn id="8" xr3:uid="{E9C9C976-D1C8-4E6D-8B37-E0E46B52317D}" name="July" totalsRowFunction="custom" totalsRowDxfId="304">
      <totalsRowFormula>H5-H6</totalsRowFormula>
    </tableColumn>
    <tableColumn id="9" xr3:uid="{B8BC4200-5B2D-4470-8E15-D18CD2D5059F}" name="August" totalsRowFunction="custom" totalsRowDxfId="303">
      <totalsRowFormula>I5-I6</totalsRowFormula>
    </tableColumn>
    <tableColumn id="10" xr3:uid="{214ED2E1-7BFD-49E9-9411-7614C7D0422E}" name="September" totalsRowFunction="custom" totalsRowDxfId="302">
      <totalsRowFormula>J5-J6</totalsRowFormula>
    </tableColumn>
    <tableColumn id="11" xr3:uid="{4B415898-DF59-40C6-B3C7-2DF7C94C47E5}" name="October" totalsRowFunction="custom" totalsRowDxfId="301">
      <totalsRowFormula>K5-K6</totalsRowFormula>
    </tableColumn>
    <tableColumn id="12" xr3:uid="{0C3CCBA2-51DE-414A-8FD8-3193DCF3906C}" name="November" totalsRowFunction="custom" totalsRowDxfId="300">
      <totalsRowFormula>L5-L6</totalsRowFormula>
    </tableColumn>
    <tableColumn id="13" xr3:uid="{1EF222A1-701A-4910-B0EB-6F8E230813F1}" name="December" totalsRowFunction="custom" totalsRowDxfId="299">
      <totalsRowFormula>M5-M6</totalsRowFormula>
    </tableColumn>
  </tableColumns>
  <tableStyleInfo name="TableStyleMedium1" showFirstColumn="0" showLastColumn="0" showRowStripes="0" showColumnStripes="1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452B71D-624F-4037-A2DC-4C6FE8545FB6}" name="Income336477" displayName="Income336477" ref="A10:M18" totalsRowCount="1" headerRowDxfId="298" dataDxfId="296" headerRowBorderDxfId="297" tableBorderDxfId="295">
  <tableColumns count="13">
    <tableColumn id="1" xr3:uid="{47340743-EAB8-42A8-B152-610F07E65241}" name="INCOME" totalsRowFunction="custom" dataDxfId="294" totalsRowDxfId="293">
      <totalsRowFormula>"Total " &amp; Income336477[[#Headers],[INCOME]]</totalsRowFormula>
    </tableColumn>
    <tableColumn id="2" xr3:uid="{4F143C23-7DDB-4A4E-AE3C-C96DAE274D5B}" name="January" totalsRowFunction="custom" dataDxfId="292" totalsRowDxfId="291" dataCellStyle="Comma">
      <totalsRowFormula>SUBTOTAL(9,Income336477[January])</totalsRowFormula>
    </tableColumn>
    <tableColumn id="3" xr3:uid="{A2271257-1D50-48E5-B043-1B4D92432D63}" name="February" totalsRowFunction="custom" dataDxfId="290" totalsRowDxfId="289" dataCellStyle="Comma">
      <totalsRowFormula>SUBTOTAL(9,Income336477[February])</totalsRowFormula>
    </tableColumn>
    <tableColumn id="4" xr3:uid="{D038548A-84AC-4024-A640-00F7E412DECA}" name="March" totalsRowFunction="custom" dataDxfId="288" totalsRowDxfId="287" dataCellStyle="Comma">
      <totalsRowFormula>SUBTOTAL(9,Income336477[March])</totalsRowFormula>
    </tableColumn>
    <tableColumn id="5" xr3:uid="{C3654CCE-22C9-4EFC-9A2A-A2F5261E6AFC}" name="April" totalsRowFunction="custom" dataDxfId="286" totalsRowDxfId="285" dataCellStyle="Comma">
      <totalsRowFormula>SUBTOTAL(9,Income336477[April])</totalsRowFormula>
    </tableColumn>
    <tableColumn id="6" xr3:uid="{A66A48F7-FA3C-4F82-9F65-F992CA505137}" name="May" totalsRowFunction="custom" dataDxfId="284" totalsRowDxfId="283" dataCellStyle="Comma">
      <totalsRowFormula>SUBTOTAL(9,Income336477[May])</totalsRowFormula>
    </tableColumn>
    <tableColumn id="7" xr3:uid="{0C07DF37-36E2-4655-B5CA-B9AB41D002E9}" name="June" totalsRowFunction="custom" dataDxfId="282" totalsRowDxfId="281" dataCellStyle="Comma">
      <totalsRowFormula>SUBTOTAL(9,Income336477[June])</totalsRowFormula>
    </tableColumn>
    <tableColumn id="8" xr3:uid="{5817C488-0D24-4AF1-9D47-4B2503660595}" name="July" totalsRowFunction="custom" dataDxfId="280" totalsRowDxfId="279" dataCellStyle="Comma">
      <totalsRowFormula>SUBTOTAL(9,Income336477[July])</totalsRowFormula>
    </tableColumn>
    <tableColumn id="9" xr3:uid="{30456F6A-D543-4BA6-A555-ADB344212870}" name="August" totalsRowFunction="custom" dataDxfId="278" totalsRowDxfId="277" dataCellStyle="Comma">
      <totalsRowFormula>SUBTOTAL(9,Income336477[August])</totalsRowFormula>
    </tableColumn>
    <tableColumn id="10" xr3:uid="{4F462A68-4DEE-4A67-932A-DEC9D404AC29}" name="September" totalsRowFunction="custom" dataDxfId="276" totalsRowDxfId="275">
      <totalsRowFormula>SUBTOTAL(9,Income336477[September])</totalsRowFormula>
    </tableColumn>
    <tableColumn id="11" xr3:uid="{6DE5CA4F-C3DA-40DF-9D7B-769FF60E9DDB}" name="October" totalsRowFunction="custom" dataDxfId="274" totalsRowDxfId="273">
      <totalsRowFormula>SUBTOTAL(9,Income336477[October])</totalsRowFormula>
    </tableColumn>
    <tableColumn id="12" xr3:uid="{F036583A-5BA8-4485-B472-54CDB85458A4}" name="November" totalsRowFunction="custom" dataDxfId="272" totalsRowDxfId="271">
      <totalsRowFormula>SUBTOTAL(9,Income336477[November])</totalsRowFormula>
    </tableColumn>
    <tableColumn id="13" xr3:uid="{FC155EB7-9C6E-4C51-8894-FCAC5AF70978}" name="December" totalsRowFunction="custom" dataDxfId="270" totalsRowDxfId="269">
      <totalsRowFormula>SUBTOTAL(9,Income336477[December])</totalsRowFormula>
    </tableColumn>
  </tableColumns>
  <tableStyleInfo name="V42_IncomeTable" showFirstColumn="1" showLastColumn="1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819E84-D6AD-4022-9837-39A6A95D3943}" name="HomeExpenses437488" displayName="HomeExpenses437488" ref="A20:M34" totalsRowCount="1" headerRowDxfId="268" dataDxfId="266" headerRowBorderDxfId="267" tableBorderDxfId="265">
  <tableColumns count="13">
    <tableColumn id="1" xr3:uid="{01D856BE-A1E1-4107-ADCF-78E8139830EF}" name="HOME EXPENSES" totalsRowFunction="custom" dataDxfId="264" totalsRowDxfId="263">
      <totalsRowFormula>"Total " &amp; HomeExpenses437488[[#Headers],[HOME EXPENSES]]</totalsRowFormula>
    </tableColumn>
    <tableColumn id="2" xr3:uid="{638B4B0C-3A5D-46A2-82E6-3E6533EDFA07}" name="January" totalsRowFunction="custom" dataDxfId="262" totalsRowDxfId="261" dataCellStyle="Comma">
      <totalsRowFormula>SUBTOTAL(9,HomeExpenses437488[January])</totalsRowFormula>
    </tableColumn>
    <tableColumn id="3" xr3:uid="{A5475497-DA6F-4EF4-8B61-EAC4986C133E}" name="February" totalsRowFunction="custom" dataDxfId="260" totalsRowDxfId="259" dataCellStyle="Comma">
      <totalsRowFormula>SUBTOTAL(9,HomeExpenses437488[February])</totalsRowFormula>
    </tableColumn>
    <tableColumn id="4" xr3:uid="{0DACA058-DD4C-475C-A99C-FD309E0BCF48}" name="March" totalsRowFunction="custom" dataDxfId="258" totalsRowDxfId="257" dataCellStyle="Comma">
      <totalsRowFormula>SUBTOTAL(9,HomeExpenses437488[March])</totalsRowFormula>
    </tableColumn>
    <tableColumn id="5" xr3:uid="{AB64B979-B8A6-496B-9BBD-46BEC4FF2C07}" name="April" totalsRowFunction="custom" dataDxfId="256" totalsRowDxfId="255" dataCellStyle="Comma">
      <totalsRowFormula>SUBTOTAL(9,HomeExpenses437488[April])</totalsRowFormula>
    </tableColumn>
    <tableColumn id="6" xr3:uid="{2B28B8B2-386F-4B81-80D4-3E5F3322EAE5}" name="May" totalsRowFunction="custom" dataDxfId="254" totalsRowDxfId="253" dataCellStyle="Comma">
      <totalsRowFormula>SUBTOTAL(9,HomeExpenses437488[May])</totalsRowFormula>
    </tableColumn>
    <tableColumn id="7" xr3:uid="{D93E326E-D465-44C1-9FF2-5F0D83042A79}" name="June" totalsRowFunction="custom" dataDxfId="252" totalsRowDxfId="251" dataCellStyle="Comma">
      <totalsRowFormula>SUBTOTAL(9,HomeExpenses437488[June])</totalsRowFormula>
    </tableColumn>
    <tableColumn id="8" xr3:uid="{965ACE49-76A8-43EF-B4B8-D6ED77ECDF5D}" name="July" totalsRowFunction="custom" dataDxfId="250" totalsRowDxfId="249" dataCellStyle="Comma">
      <totalsRowFormula>SUBTOTAL(9,HomeExpenses437488[July])</totalsRowFormula>
    </tableColumn>
    <tableColumn id="9" xr3:uid="{DF30694E-0E62-415C-893A-065711C309E9}" name="August" totalsRowFunction="custom" dataDxfId="248" totalsRowDxfId="247" dataCellStyle="Comma">
      <totalsRowFormula>SUBTOTAL(9,HomeExpenses437488[August])</totalsRowFormula>
    </tableColumn>
    <tableColumn id="10" xr3:uid="{0AEC5D91-2634-4FDB-9208-E1789A05B397}" name="September" totalsRowFunction="custom" dataDxfId="246" totalsRowDxfId="245" dataCellStyle="Comma">
      <totalsRowFormula>SUBTOTAL(9,HomeExpenses437488[September])</totalsRowFormula>
    </tableColumn>
    <tableColumn id="11" xr3:uid="{1708F0C6-AB22-42E5-8F33-FF0CFFD7890C}" name="October" totalsRowFunction="custom" dataDxfId="244" totalsRowDxfId="243" dataCellStyle="Comma">
      <totalsRowFormula>SUBTOTAL(9,HomeExpenses437488[October])</totalsRowFormula>
    </tableColumn>
    <tableColumn id="12" xr3:uid="{958C738E-34AE-4223-A595-791C68FCBF9A}" name="November" totalsRowFunction="custom" dataDxfId="242" totalsRowDxfId="241" dataCellStyle="Comma">
      <totalsRowFormula>SUBTOTAL(9,HomeExpenses437488[November])</totalsRowFormula>
    </tableColumn>
    <tableColumn id="13" xr3:uid="{AFFC73DF-756C-4EEB-AA11-D211D9F769FB}" name="December" totalsRowFunction="custom" dataDxfId="240" totalsRowDxfId="239" dataCellStyle="Comma">
      <totalsRowFormula>SUBTOTAL(9,HomeExpenses437488[December])</totalsRowFormula>
    </tableColumn>
  </tableColumns>
  <tableStyleInfo name="V42_ExpenseTable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2279AD-BB2D-454D-B3D3-A4E8929B55F8}" name="Transportation538499" displayName="Transportation538499" ref="A36:M44" totalsRowCount="1" headerRowDxfId="238" dataDxfId="236" headerRowBorderDxfId="237" tableBorderDxfId="235">
  <tableColumns count="13">
    <tableColumn id="1" xr3:uid="{6529482C-2585-4DEF-BA98-763B0B4A58ED}" name="TRANSPORTATION" totalsRowFunction="custom" dataDxfId="234" totalsRowDxfId="233">
      <totalsRowFormula>"Total " &amp; Transportation538499[[#Headers],[TRANSPORTATION]]</totalsRowFormula>
    </tableColumn>
    <tableColumn id="2" xr3:uid="{E5E8B9F8-06FF-42D2-BB67-0B243CB86A0C}" name="January" totalsRowFunction="custom" dataDxfId="232" totalsRowDxfId="231" dataCellStyle="Comma">
      <totalsRowFormula>SUBTOTAL(9,Transportation538499[January])</totalsRowFormula>
    </tableColumn>
    <tableColumn id="3" xr3:uid="{09016C75-A1A0-450D-893C-530B18B70118}" name="February" totalsRowFunction="custom" dataDxfId="230" totalsRowDxfId="229" dataCellStyle="Comma">
      <totalsRowFormula>SUBTOTAL(9,Transportation538499[February])</totalsRowFormula>
    </tableColumn>
    <tableColumn id="4" xr3:uid="{D5B0DEBA-1572-45F1-A7B8-0E5DEBE302C3}" name="March" totalsRowFunction="custom" dataDxfId="228" totalsRowDxfId="227" dataCellStyle="Comma">
      <totalsRowFormula>SUBTOTAL(9,Transportation538499[March])</totalsRowFormula>
    </tableColumn>
    <tableColumn id="5" xr3:uid="{11C823DB-8760-479D-B4C4-2EEECA875ABE}" name="April" totalsRowFunction="custom" dataDxfId="226" totalsRowDxfId="225" dataCellStyle="Comma">
      <totalsRowFormula>SUBTOTAL(9,Transportation538499[April])</totalsRowFormula>
    </tableColumn>
    <tableColumn id="6" xr3:uid="{B065C3E1-8825-4AA6-B1EB-5DB72776D7E4}" name="May" totalsRowFunction="custom" dataDxfId="224" totalsRowDxfId="223" dataCellStyle="Comma">
      <totalsRowFormula>SUBTOTAL(9,Transportation538499[May])</totalsRowFormula>
    </tableColumn>
    <tableColumn id="7" xr3:uid="{4A087855-281D-4E19-8694-17DADEF442BA}" name="June" totalsRowFunction="custom" dataDxfId="222" totalsRowDxfId="221" dataCellStyle="Comma">
      <totalsRowFormula>SUBTOTAL(9,Transportation538499[June])</totalsRowFormula>
    </tableColumn>
    <tableColumn id="8" xr3:uid="{5CAC0DF7-A15E-4678-861B-2C845F13E0C2}" name="July" totalsRowFunction="custom" dataDxfId="220" totalsRowDxfId="219" dataCellStyle="Comma">
      <totalsRowFormula>SUBTOTAL(9,Transportation538499[July])</totalsRowFormula>
    </tableColumn>
    <tableColumn id="9" xr3:uid="{3C918FF4-D914-4D9C-9663-65AD789AFA33}" name="August" totalsRowFunction="custom" dataDxfId="218" totalsRowDxfId="217">
      <totalsRowFormula>SUBTOTAL(9,Transportation538499[August])</totalsRowFormula>
    </tableColumn>
    <tableColumn id="10" xr3:uid="{63443AAC-1E44-4244-9109-3F7753E8B553}" name="September" totalsRowFunction="custom" dataDxfId="216" totalsRowDxfId="215">
      <totalsRowFormula>SUBTOTAL(9,Transportation538499[September])</totalsRowFormula>
    </tableColumn>
    <tableColumn id="11" xr3:uid="{40041311-12C6-442F-A5E7-A9538EB5EB31}" name="October" totalsRowFunction="custom" dataDxfId="214" totalsRowDxfId="213">
      <totalsRowFormula>SUBTOTAL(9,Transportation538499[October])</totalsRowFormula>
    </tableColumn>
    <tableColumn id="12" xr3:uid="{91079C47-62F4-4AFD-92BF-E990E6864361}" name="November" totalsRowFunction="custom" dataDxfId="212" totalsRowDxfId="211">
      <totalsRowFormula>SUBTOTAL(9,Transportation538499[November])</totalsRowFormula>
    </tableColumn>
    <tableColumn id="13" xr3:uid="{2D2271D3-6031-4177-9CCE-A12C55052610}" name="December" totalsRowFunction="custom" dataDxfId="210" totalsRowDxfId="209">
      <totalsRowFormula>SUBTOTAL(9,Transportation538499[December])</totalsRowFormula>
    </tableColumn>
  </tableColumns>
  <tableStyleInfo name="V42_ExpenseTable" showFirstColumn="1" showLastColumn="1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1E6127-D853-4B63-BF21-B051D5D4878E}" name="Health10395011" displayName="Health10395011" ref="A46:M54" totalsRowCount="1" headerRowDxfId="208" dataDxfId="206" headerRowBorderDxfId="207" tableBorderDxfId="205">
  <tableColumns count="13">
    <tableColumn id="1" xr3:uid="{E3AC8061-66A2-47BD-99DE-7EDD67D7C011}" name="HEALTH" totalsRowFunction="custom" dataDxfId="204" totalsRowDxfId="203">
      <totalsRowFormula>"Total " &amp; Health10395011[[#Headers],[HEALTH]]</totalsRowFormula>
    </tableColumn>
    <tableColumn id="2" xr3:uid="{1B9B3818-4B2E-4D12-9106-6460F2EFE0BD}" name="January" totalsRowFunction="custom" dataDxfId="202" totalsRowDxfId="201" dataCellStyle="Comma">
      <totalsRowFormula>SUBTOTAL(9,Health10395011[January])</totalsRowFormula>
    </tableColumn>
    <tableColumn id="3" xr3:uid="{C9E3342C-CAAD-428B-80B7-D072A69E24FC}" name="February" totalsRowFunction="custom" dataDxfId="200" totalsRowDxfId="199" dataCellStyle="Comma">
      <totalsRowFormula>SUBTOTAL(9,Health10395011[February])</totalsRowFormula>
    </tableColumn>
    <tableColumn id="4" xr3:uid="{9D1140CD-CC45-42E4-9C5B-A8A97B6E2089}" name="March" totalsRowFunction="custom" dataDxfId="198" totalsRowDxfId="197" dataCellStyle="Comma">
      <totalsRowFormula>SUBTOTAL(9,Health10395011[March])</totalsRowFormula>
    </tableColumn>
    <tableColumn id="5" xr3:uid="{BF96DEE0-9C68-423F-A66C-60416F8D9B0B}" name="April" totalsRowFunction="custom" dataDxfId="196" totalsRowDxfId="195">
      <totalsRowFormula>SUBTOTAL(9,Health10395011[April])</totalsRowFormula>
    </tableColumn>
    <tableColumn id="6" xr3:uid="{D5950CB3-E1E2-4E27-8448-8121079053FD}" name="May" totalsRowFunction="custom" dataDxfId="194" totalsRowDxfId="193">
      <totalsRowFormula>SUBTOTAL(9,Health10395011[May])</totalsRowFormula>
    </tableColumn>
    <tableColumn id="7" xr3:uid="{87A66B60-168E-485A-A887-A2921255A07D}" name="June" totalsRowFunction="custom" dataDxfId="192" totalsRowDxfId="191">
      <totalsRowFormula>SUBTOTAL(9,Health10395011[June])</totalsRowFormula>
    </tableColumn>
    <tableColumn id="8" xr3:uid="{CA525E69-4B3B-4BAE-A6B2-FDB54EF965FF}" name="July" totalsRowFunction="custom" dataDxfId="190" totalsRowDxfId="189">
      <totalsRowFormula>SUBTOTAL(9,Health10395011[July])</totalsRowFormula>
    </tableColumn>
    <tableColumn id="9" xr3:uid="{6B0C245D-78DD-484D-9B73-8F1AB6C91132}" name="August" totalsRowFunction="custom" dataDxfId="188" totalsRowDxfId="187">
      <totalsRowFormula>SUBTOTAL(9,Health10395011[August])</totalsRowFormula>
    </tableColumn>
    <tableColumn id="10" xr3:uid="{D4AF8342-57EE-45D3-9B17-E11C832AFCEA}" name="September" totalsRowFunction="custom" dataDxfId="186" totalsRowDxfId="185">
      <totalsRowFormula>SUBTOTAL(9,Health10395011[September])</totalsRowFormula>
    </tableColumn>
    <tableColumn id="11" xr3:uid="{14B51B41-0851-42BB-BDAD-0F34DE94E131}" name="October" totalsRowFunction="custom" dataDxfId="184" totalsRowDxfId="183">
      <totalsRowFormula>SUBTOTAL(9,Health10395011[October])</totalsRowFormula>
    </tableColumn>
    <tableColumn id="12" xr3:uid="{9E21D4B9-832D-4B50-9B15-2298E4D47BF7}" name="November" totalsRowFunction="custom" dataDxfId="182" totalsRowDxfId="181">
      <totalsRowFormula>SUBTOTAL(9,Health10395011[November])</totalsRowFormula>
    </tableColumn>
    <tableColumn id="13" xr3:uid="{905B3310-52F1-41F0-8904-6DE6FE3A3E62}" name="December" totalsRowFunction="custom" dataDxfId="180" totalsRowDxfId="179">
      <totalsRowFormula>SUBTOTAL(9,Health10395011[December])</totalsRowFormula>
    </tableColumn>
  </tableColumns>
  <tableStyleInfo name="V42_ExpenseTable" showFirstColumn="1" showLastColumn="1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3FF8B5B-4EC8-4253-9390-2954E7A2113D}" name="Gifts12405115" displayName="Gifts12405115" ref="A56:M60" totalsRowCount="1" headerRowDxfId="178" dataDxfId="176" headerRowBorderDxfId="177" tableBorderDxfId="175">
  <tableColumns count="13">
    <tableColumn id="1" xr3:uid="{418F668F-BC04-4E4B-AC2E-1A47E9EE3AF1}" name="CHARITY/GIFTS" totalsRowFunction="custom" dataDxfId="174" totalsRowDxfId="173">
      <totalsRowFormula>"Total " &amp; Gifts12405115[[#Headers],[CHARITY/GIFTS]]</totalsRowFormula>
    </tableColumn>
    <tableColumn id="2" xr3:uid="{CA3C27C5-C76D-487B-8250-F9493481E184}" name="January" totalsRowFunction="custom" dataDxfId="172" totalsRowDxfId="171" dataCellStyle="Comma">
      <totalsRowFormula>SUBTOTAL(9,Gifts12405115[January])</totalsRowFormula>
    </tableColumn>
    <tableColumn id="3" xr3:uid="{FAA153E7-8D00-4575-B3AB-640CA51FD814}" name="February" totalsRowFunction="custom" dataDxfId="170" totalsRowDxfId="169" dataCellStyle="Comma">
      <calculatedColumnFormula>16.59+25.49</calculatedColumnFormula>
      <totalsRowFormula>SUBTOTAL(9,Gifts12405115[February])</totalsRowFormula>
    </tableColumn>
    <tableColumn id="4" xr3:uid="{883174DB-954C-403C-9F61-F516F13D2415}" name="March" totalsRowFunction="custom" dataDxfId="168" totalsRowDxfId="167" dataCellStyle="Comma">
      <totalsRowFormula>SUBTOTAL(9,Gifts12405115[March])</totalsRowFormula>
    </tableColumn>
    <tableColumn id="5" xr3:uid="{7DFC0717-0673-478E-991D-7F8883A5D6C9}" name="April" totalsRowFunction="custom" dataDxfId="166" totalsRowDxfId="165">
      <totalsRowFormula>SUBTOTAL(9,Gifts12405115[April])</totalsRowFormula>
    </tableColumn>
    <tableColumn id="6" xr3:uid="{93CAE914-33A6-40CB-8321-4EB1230FF1DE}" name="May" totalsRowFunction="custom" dataDxfId="164" totalsRowDxfId="163">
      <totalsRowFormula>SUBTOTAL(9,Gifts12405115[May])</totalsRowFormula>
    </tableColumn>
    <tableColumn id="7" xr3:uid="{83A7039D-0AAD-4DD6-9810-4A4FE792E51D}" name="June" totalsRowFunction="custom" dataDxfId="162" totalsRowDxfId="161">
      <totalsRowFormula>SUBTOTAL(9,Gifts12405115[June])</totalsRowFormula>
    </tableColumn>
    <tableColumn id="8" xr3:uid="{FC20B5CC-B33A-4DFF-98E3-4626EE4E7FE4}" name="July" totalsRowFunction="custom" dataDxfId="160" totalsRowDxfId="159">
      <calculatedColumnFormula>16.59+25.49</calculatedColumnFormula>
      <totalsRowFormula>SUBTOTAL(9,Gifts12405115[July])</totalsRowFormula>
    </tableColumn>
    <tableColumn id="9" xr3:uid="{4B21FCCC-AFCB-4F05-8899-626EAD344503}" name="August" totalsRowFunction="custom" dataDxfId="158" totalsRowDxfId="157">
      <totalsRowFormula>SUBTOTAL(9,Gifts12405115[August])</totalsRowFormula>
    </tableColumn>
    <tableColumn id="10" xr3:uid="{91C3D0F4-CDB4-46E1-BD61-E3A4FFF88880}" name="September" totalsRowFunction="custom" dataDxfId="156" totalsRowDxfId="155">
      <totalsRowFormula>SUBTOTAL(9,Gifts12405115[September])</totalsRowFormula>
    </tableColumn>
    <tableColumn id="11" xr3:uid="{26870479-A426-4DF0-B67D-E7CA0ADD1C22}" name="October" totalsRowFunction="custom" dataDxfId="154" totalsRowDxfId="153">
      <totalsRowFormula>SUBTOTAL(9,Gifts12405115[October])</totalsRowFormula>
    </tableColumn>
    <tableColumn id="12" xr3:uid="{B8BBE513-27C4-477C-824D-272539FC9E37}" name="November" totalsRowFunction="custom" dataDxfId="152" totalsRowDxfId="151">
      <totalsRowFormula>SUBTOTAL(9,Gifts12405115[November])</totalsRowFormula>
    </tableColumn>
    <tableColumn id="13" xr3:uid="{EE445825-7CA2-406C-B7CB-F6916E25E575}" name="December" totalsRowFunction="custom" dataDxfId="150" totalsRowDxfId="149">
      <totalsRowFormula>SUBTOTAL(9,Gifts12405115[December])</totalsRowFormula>
    </tableColumn>
  </tableColumns>
  <tableStyleInfo name="V42_ExpenseTable" showFirstColumn="1" showLastColumn="1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947AE1C-3C59-4730-B67A-9648D3CD3060}" name="DailyLiving13415216" displayName="DailyLiving13415216" ref="A62:M73" totalsRowCount="1" headerRowDxfId="148" dataDxfId="146" headerRowBorderDxfId="147" tableBorderDxfId="145">
  <tableColumns count="13">
    <tableColumn id="1" xr3:uid="{E6FE920D-19B8-46D2-B8BE-29B352C057B0}" name="DAILY LIVING" totalsRowFunction="custom" dataDxfId="144" totalsRowDxfId="143">
      <totalsRowFormula>"Total " &amp; DailyLiving13415216[[#Headers],[DAILY LIVING]]</totalsRowFormula>
    </tableColumn>
    <tableColumn id="2" xr3:uid="{42F59D0C-4FEF-40B1-ACEB-4CE30DA35D88}" name="January" totalsRowFunction="custom" dataDxfId="142" totalsRowDxfId="141" dataCellStyle="Comma">
      <totalsRowFormula>SUBTOTAL(9,DailyLiving13415216[January])</totalsRowFormula>
    </tableColumn>
    <tableColumn id="3" xr3:uid="{47438119-BA8C-4452-A1BD-CAEFC1D6F1AD}" name="February" totalsRowFunction="custom" dataDxfId="140" totalsRowDxfId="139" dataCellStyle="Comma">
      <totalsRowFormula>SUBTOTAL(9,DailyLiving13415216[February])</totalsRowFormula>
    </tableColumn>
    <tableColumn id="4" xr3:uid="{96D0EF6D-8546-4E67-9CCB-865752C44C0F}" name="March" totalsRowFunction="custom" dataDxfId="138" totalsRowDxfId="137" dataCellStyle="Comma">
      <totalsRowFormula>SUBTOTAL(9,DailyLiving13415216[March])</totalsRowFormula>
    </tableColumn>
    <tableColumn id="5" xr3:uid="{C69122BA-BE74-413C-8522-8FA5EFE20DA8}" name="April" totalsRowFunction="custom" dataDxfId="136" totalsRowDxfId="135" dataCellStyle="Comma">
      <totalsRowFormula>SUBTOTAL(9,DailyLiving13415216[April])</totalsRowFormula>
    </tableColumn>
    <tableColumn id="6" xr3:uid="{55E5125D-5487-4D80-9BA6-7462D946C88B}" name="May" totalsRowFunction="custom" dataDxfId="134" totalsRowDxfId="133" dataCellStyle="Comma">
      <totalsRowFormula>SUBTOTAL(9,DailyLiving13415216[May])</totalsRowFormula>
    </tableColumn>
    <tableColumn id="7" xr3:uid="{288935E6-68A6-48ED-8D51-C86F9D6996A4}" name="June" totalsRowFunction="custom" dataDxfId="132" totalsRowDxfId="131" dataCellStyle="Comma">
      <totalsRowFormula>SUBTOTAL(9,DailyLiving13415216[June])</totalsRowFormula>
    </tableColumn>
    <tableColumn id="8" xr3:uid="{85B0FDCA-5090-4586-B181-23CB1E9B3521}" name="July" totalsRowFunction="custom" dataDxfId="130" totalsRowDxfId="129" dataCellStyle="Comma">
      <totalsRowFormula>SUBTOTAL(9,DailyLiving13415216[July])</totalsRowFormula>
    </tableColumn>
    <tableColumn id="9" xr3:uid="{1F5046A7-0FE0-43EB-A110-68D6F138E428}" name="August" totalsRowFunction="custom" dataDxfId="128" totalsRowDxfId="127">
      <totalsRowFormula>SUBTOTAL(9,DailyLiving13415216[August])</totalsRowFormula>
    </tableColumn>
    <tableColumn id="10" xr3:uid="{2D30A4CD-8A4E-4E74-8301-ACC5A491A9B8}" name="September" totalsRowFunction="custom" dataDxfId="126" totalsRowDxfId="125">
      <totalsRowFormula>SUBTOTAL(9,DailyLiving13415216[September])</totalsRowFormula>
    </tableColumn>
    <tableColumn id="11" xr3:uid="{356F351A-5887-4537-8117-7928941E4235}" name="October" totalsRowFunction="custom" dataDxfId="124" totalsRowDxfId="123">
      <totalsRowFormula>SUBTOTAL(9,DailyLiving13415216[October])</totalsRowFormula>
    </tableColumn>
    <tableColumn id="12" xr3:uid="{B2C6EA66-886F-4AE4-A3C9-899FC0FE281F}" name="November" totalsRowFunction="custom" dataDxfId="122" totalsRowDxfId="121">
      <totalsRowFormula>SUBTOTAL(9,DailyLiving13415216[November])</totalsRowFormula>
    </tableColumn>
    <tableColumn id="13" xr3:uid="{B7B409A0-E02A-4613-B3F3-3F41BC6CE60A}" name="December" totalsRowFunction="custom" dataDxfId="120" totalsRowDxfId="119">
      <totalsRowFormula>SUBTOTAL(9,DailyLiving13415216[December])</totalsRowFormula>
    </tableColumn>
  </tableColumns>
  <tableStyleInfo name="V42_ExpenseTable" showFirstColumn="1" showLastColumn="1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0E2669-7A33-4809-BE8F-85C9980E9195}" name="Entertainment14425317" displayName="Entertainment14425317" ref="A75:M89" totalsRowCount="1" headerRowDxfId="118" dataDxfId="116" headerRowBorderDxfId="117" tableBorderDxfId="115">
  <tableColumns count="13">
    <tableColumn id="1" xr3:uid="{C24A643C-6C3E-47DA-ABEF-AA5CAEA55B9D}" name="ENTERTAINMENT" totalsRowLabel="Total ENTERTAINMENT" dataDxfId="114" totalsRowDxfId="113"/>
    <tableColumn id="2" xr3:uid="{F8C747F9-4DE5-4E76-A824-368CD570E7C7}" name="January" totalsRowFunction="custom" dataDxfId="112" totalsRowDxfId="111" dataCellStyle="Comma">
      <totalsRowFormula>SUBTOTAL(9,Entertainment14425317[January])</totalsRowFormula>
    </tableColumn>
    <tableColumn id="3" xr3:uid="{DD78816B-BD1A-48FD-A292-4618B4CBB0DF}" name="February" totalsRowFunction="custom" dataDxfId="110" totalsRowDxfId="109" dataCellStyle="Comma">
      <totalsRowFormula>SUBTOTAL(9,Entertainment14425317[February])</totalsRowFormula>
    </tableColumn>
    <tableColumn id="4" xr3:uid="{6A2B6805-F199-47BD-9144-DCF96BA01B64}" name="March" totalsRowFunction="custom" dataDxfId="108" totalsRowDxfId="107" dataCellStyle="Comma">
      <totalsRowFormula>SUBTOTAL(9,Entertainment14425317[March])</totalsRowFormula>
    </tableColumn>
    <tableColumn id="5" xr3:uid="{78DA7FC4-D6A3-4175-ABDA-E14B217B014F}" name="April" totalsRowFunction="custom" dataDxfId="106" totalsRowDxfId="105">
      <totalsRowFormula>SUBTOTAL(9,Entertainment14425317[April])</totalsRowFormula>
    </tableColumn>
    <tableColumn id="6" xr3:uid="{551EA5DF-D564-4089-816A-42DF7FB9F4C8}" name="May" totalsRowFunction="custom" dataDxfId="104" totalsRowDxfId="103">
      <totalsRowFormula>SUBTOTAL(9,Entertainment14425317[May])</totalsRowFormula>
    </tableColumn>
    <tableColumn id="7" xr3:uid="{83497285-B93C-48B3-B54C-A2A3B9D9823C}" name="June" totalsRowFunction="custom" dataDxfId="102" totalsRowDxfId="101" dataCellStyle="Comma">
      <totalsRowFormula>SUBTOTAL(9,Entertainment14425317[June])</totalsRowFormula>
    </tableColumn>
    <tableColumn id="8" xr3:uid="{6B914C22-01CC-4CA9-8893-AD54661397FD}" name="July" totalsRowFunction="custom" dataDxfId="100" totalsRowDxfId="99" dataCellStyle="Comma">
      <totalsRowFormula>SUBTOTAL(9,Entertainment14425317[July])</totalsRowFormula>
    </tableColumn>
    <tableColumn id="9" xr3:uid="{9701CA2D-6E78-43D9-BDC0-909D6934BBFD}" name="August" totalsRowFunction="custom" dataDxfId="98" totalsRowDxfId="97">
      <totalsRowFormula>SUBTOTAL(9,Entertainment14425317[August])</totalsRowFormula>
    </tableColumn>
    <tableColumn id="10" xr3:uid="{30F30F76-2C48-429A-AC57-BF9D29BBD1AA}" name="September" totalsRowFunction="custom" dataDxfId="96" totalsRowDxfId="95">
      <totalsRowFormula>SUBTOTAL(9,Entertainment14425317[September])</totalsRowFormula>
    </tableColumn>
    <tableColumn id="11" xr3:uid="{BDE112DA-4B26-436E-956E-26F7E47194F2}" name="October" totalsRowFunction="custom" dataDxfId="94" totalsRowDxfId="93">
      <totalsRowFormula>SUBTOTAL(9,Entertainment14425317[October])</totalsRowFormula>
    </tableColumn>
    <tableColumn id="12" xr3:uid="{A4737D56-D728-45AE-B1D6-5799FED5D858}" name="November" totalsRowFunction="custom" dataDxfId="92" totalsRowDxfId="91">
      <totalsRowFormula>SUBTOTAL(9,Entertainment14425317[November])</totalsRowFormula>
    </tableColumn>
    <tableColumn id="13" xr3:uid="{F4768572-A17A-4C5C-8338-AA8610702E3C}" name="December" totalsRowFunction="custom" dataDxfId="90" totalsRowDxfId="89">
      <totalsRowFormula>SUBTOTAL(9,Entertainment14425317[December])</totalsRowFormula>
    </tableColumn>
  </tableColumns>
  <tableStyleInfo name="V42_ExpenseTable" showFirstColumn="1" showLastColumn="1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DDBE27E-B7A1-4B7F-B02C-C42DA942493D}" name="Savings21435418" displayName="Savings21435418" ref="A91:M96" totalsRowCount="1" headerRowDxfId="88" dataDxfId="86" headerRowBorderDxfId="87" tableBorderDxfId="85">
  <tableColumns count="13">
    <tableColumn id="1" xr3:uid="{1AC3FB0E-B310-40B3-B204-E6BAE6CDF870}" name="SAVINGS" totalsRowFunction="custom" dataDxfId="84" totalsRowDxfId="83">
      <totalsRowFormula>"Total " &amp; Savings21435418[[#Headers],[SAVINGS]]</totalsRowFormula>
    </tableColumn>
    <tableColumn id="2" xr3:uid="{7136A4C0-4329-45A0-9501-B86F0493D29E}" name="January" totalsRowFunction="custom" dataDxfId="82" totalsRowDxfId="81">
      <totalsRowFormula>SUBTOTAL(9,Savings21435418[January])</totalsRowFormula>
    </tableColumn>
    <tableColumn id="3" xr3:uid="{D8154FCB-0D2A-47BF-826C-CCED60B62B11}" name="February" totalsRowFunction="custom" dataDxfId="80" totalsRowDxfId="79">
      <totalsRowFormula>SUBTOTAL(9,Savings21435418[February])</totalsRowFormula>
    </tableColumn>
    <tableColumn id="4" xr3:uid="{C6F654A4-0DC6-447C-B3DB-D29077592180}" name="March" totalsRowFunction="custom" dataDxfId="78" totalsRowDxfId="77" dataCellStyle="Comma">
      <totalsRowFormula>SUBTOTAL(9,Savings21435418[March])</totalsRowFormula>
    </tableColumn>
    <tableColumn id="5" xr3:uid="{71AE9235-A5EF-4FEA-AD47-316E41590D61}" name="April" totalsRowFunction="custom" dataDxfId="76" totalsRowDxfId="75">
      <totalsRowFormula>SUBTOTAL(9,Savings21435418[April])</totalsRowFormula>
    </tableColumn>
    <tableColumn id="6" xr3:uid="{153006BA-FE75-4DE0-B14F-16DCE8E5A8B0}" name="May" totalsRowFunction="custom" dataDxfId="74" totalsRowDxfId="73">
      <totalsRowFormula>SUBTOTAL(9,Savings21435418[May])</totalsRowFormula>
    </tableColumn>
    <tableColumn id="7" xr3:uid="{4E482247-5CD7-499D-A2C5-A69ADA07533B}" name="June" totalsRowFunction="custom" dataDxfId="72" totalsRowDxfId="71" dataCellStyle="Comma">
      <totalsRowFormula>SUBTOTAL(9,Savings21435418[June])</totalsRowFormula>
    </tableColumn>
    <tableColumn id="8" xr3:uid="{EFF26B23-DC00-42FB-BF16-33A3AA048C22}" name="July" totalsRowFunction="custom" dataDxfId="70" totalsRowDxfId="69" dataCellStyle="Comma">
      <totalsRowFormula>SUBTOTAL(9,Savings21435418[July])</totalsRowFormula>
    </tableColumn>
    <tableColumn id="9" xr3:uid="{955E4E8C-C2BD-4489-9B60-A44FB5231EBB}" name="August" totalsRowFunction="custom" dataDxfId="68" totalsRowDxfId="67">
      <totalsRowFormula>SUBTOTAL(9,Savings21435418[August])</totalsRowFormula>
    </tableColumn>
    <tableColumn id="10" xr3:uid="{A8F55741-B5CC-4370-9D50-EECAE14951F9}" name="September" totalsRowFunction="custom" dataDxfId="66" totalsRowDxfId="65">
      <totalsRowFormula>SUBTOTAL(9,Savings21435418[September])</totalsRowFormula>
    </tableColumn>
    <tableColumn id="11" xr3:uid="{5E72DEB4-DC91-4DDF-A69A-D1B288554A32}" name="October" totalsRowFunction="custom" dataDxfId="64" totalsRowDxfId="63">
      <totalsRowFormula>SUBTOTAL(9,Savings21435418[October])</totalsRowFormula>
    </tableColumn>
    <tableColumn id="12" xr3:uid="{2D65DB84-A30A-4795-A6E4-8EFB65279209}" name="November" totalsRowFunction="custom" dataDxfId="62" totalsRowDxfId="61">
      <totalsRowFormula>SUBTOTAL(9,Savings21435418[November])</totalsRowFormula>
    </tableColumn>
    <tableColumn id="13" xr3:uid="{5A218615-EAD2-47B1-93A0-AEAFB1E72C39}" name="December" totalsRowFunction="custom" dataDxfId="60" totalsRowDxfId="59">
      <totalsRowFormula>SUBTOTAL(9,Savings21435418[December])</totalsRowFormula>
    </tableColumn>
  </tableColumns>
  <tableStyleInfo name="V42_ExpenseTable" showFirstColumn="1" showLastColumn="1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9ED70E6-AB1B-4F12-A920-744EA97CFB63}" name="Obligations22445519" displayName="Obligations22445519" ref="A98:M105" totalsRowCount="1" headerRowDxfId="58" dataDxfId="56" headerRowBorderDxfId="57">
  <tableColumns count="13">
    <tableColumn id="1" xr3:uid="{44DE5BF3-C220-4857-BB66-6BF86283A07B}" name="OBLIGATIONS" totalsRowFunction="custom" dataDxfId="55" totalsRowDxfId="54">
      <totalsRowFormula>"Total " &amp; Obligations22445519[[#Headers],[OBLIGATIONS]]</totalsRowFormula>
    </tableColumn>
    <tableColumn id="2" xr3:uid="{6FC1D0B0-DD2A-4BE9-9A2E-70F1AB9BC1AF}" name="January" totalsRowFunction="custom" dataDxfId="53" totalsRowDxfId="52" dataCellStyle="Comma">
      <totalsRowFormula>SUBTOTAL(9,Obligations22445519[January])</totalsRowFormula>
    </tableColumn>
    <tableColumn id="3" xr3:uid="{496FC26F-A06A-43F2-8422-EBCB09B491E3}" name="February" totalsRowFunction="custom" dataDxfId="51" totalsRowDxfId="50" dataCellStyle="Comma">
      <totalsRowFormula>SUBTOTAL(9,Obligations22445519[February])</totalsRowFormula>
    </tableColumn>
    <tableColumn id="4" xr3:uid="{CE0123CB-3B26-4251-B39A-BD873B0D46F2}" name="March" totalsRowFunction="custom" dataDxfId="49" totalsRowDxfId="48" dataCellStyle="Comma">
      <totalsRowFormula>SUBTOTAL(9,Obligations22445519[March])</totalsRowFormula>
    </tableColumn>
    <tableColumn id="5" xr3:uid="{B978C3AE-EBBD-4E03-86EE-88E254449545}" name="April" totalsRowFunction="custom" dataDxfId="47" totalsRowDxfId="46">
      <totalsRowFormula>SUBTOTAL(9,Obligations22445519[April])</totalsRowFormula>
    </tableColumn>
    <tableColumn id="6" xr3:uid="{820FBF19-607B-4C49-859A-E45E7426D8C7}" name="May" totalsRowFunction="custom" dataDxfId="45" totalsRowDxfId="44">
      <totalsRowFormula>SUBTOTAL(9,Obligations22445519[May])</totalsRowFormula>
    </tableColumn>
    <tableColumn id="7" xr3:uid="{C887FB52-BF14-4B13-AB64-2587E121A451}" name="June" totalsRowFunction="custom" dataDxfId="43" totalsRowDxfId="42">
      <totalsRowFormula>SUBTOTAL(9,Obligations22445519[June])</totalsRowFormula>
    </tableColumn>
    <tableColumn id="8" xr3:uid="{75F3AFAD-8636-497C-8E86-F833DB54531F}" name="July" totalsRowFunction="custom" dataDxfId="41" totalsRowDxfId="40">
      <totalsRowFormula>SUBTOTAL(9,Obligations22445519[July])</totalsRowFormula>
    </tableColumn>
    <tableColumn id="9" xr3:uid="{1BC98EF8-80D2-40FD-9AA6-2F1E68A2D2FE}" name="August" totalsRowFunction="custom" dataDxfId="39" totalsRowDxfId="38">
      <totalsRowFormula>SUBTOTAL(9,Obligations22445519[August])</totalsRowFormula>
    </tableColumn>
    <tableColumn id="10" xr3:uid="{751BB6CB-545B-4B5E-8294-A96BF824B734}" name="September" totalsRowFunction="custom" dataDxfId="37" totalsRowDxfId="36">
      <totalsRowFormula>SUBTOTAL(9,Obligations22445519[September])</totalsRowFormula>
    </tableColumn>
    <tableColumn id="11" xr3:uid="{98E551D8-303A-419D-9180-C8F3F41DFACC}" name="October" totalsRowFunction="custom" dataDxfId="35" totalsRowDxfId="34">
      <totalsRowFormula>SUBTOTAL(9,Obligations22445519[October])</totalsRowFormula>
    </tableColumn>
    <tableColumn id="12" xr3:uid="{327142F6-BD61-4CA3-8906-3961FA4EF0F9}" name="November" totalsRowFunction="custom" dataDxfId="33" totalsRowDxfId="32">
      <totalsRowFormula>SUBTOTAL(9,Obligations22445519[November])</totalsRowFormula>
    </tableColumn>
    <tableColumn id="13" xr3:uid="{B5E881C0-A0AB-4966-BEF0-F310D971E746}" name="December" totalsRowFunction="custom" dataDxfId="31" totalsRowDxfId="30">
      <totalsRowFormula>SUBTOTAL(9,Obligations22445519[December])</totalsRowFormula>
    </tableColumn>
  </tableColumns>
  <tableStyleInfo name="V42_ExpenseTable" showFirstColumn="1" showLastColumn="1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489CFC1-932A-4081-AEA9-F1F82FA433AE}" name="Miscellaneous23455620" displayName="Miscellaneous23455620" ref="A107:M110" totalsRowCount="1" headerRowDxfId="29" dataDxfId="27" headerRowBorderDxfId="28" tableBorderDxfId="26">
  <tableColumns count="13">
    <tableColumn id="1" xr3:uid="{CCBC18DC-E239-4308-BBAA-5DEB7E6BE466}" name="MISCELLANEOUS" totalsRowFunction="custom" dataDxfId="25" totalsRowDxfId="24">
      <totalsRowFormula>"Total " &amp; Miscellaneous23455620[[#Headers],[MISCELLANEOUS]]</totalsRowFormula>
    </tableColumn>
    <tableColumn id="2" xr3:uid="{AC9377F6-1B4C-4CD0-B905-514A6BC39D80}" name="January" totalsRowFunction="custom" dataDxfId="23" totalsRowDxfId="22" dataCellStyle="Comma">
      <totalsRowFormula>SUBTOTAL(9,Miscellaneous23455620[January])</totalsRowFormula>
    </tableColumn>
    <tableColumn id="3" xr3:uid="{FF94265C-BA2E-43EC-BCAA-985F1DF7A083}" name="February" totalsRowFunction="custom" dataDxfId="21" totalsRowDxfId="20" dataCellStyle="Comma">
      <totalsRowFormula>SUBTOTAL(9,Miscellaneous23455620[February])</totalsRowFormula>
    </tableColumn>
    <tableColumn id="4" xr3:uid="{17C90477-DCD9-41B0-A0FB-853FBA3FDCA6}" name="March" totalsRowFunction="custom" dataDxfId="19" totalsRowDxfId="18" dataCellStyle="Comma">
      <totalsRowFormula>SUBTOTAL(9,Miscellaneous23455620[March])</totalsRowFormula>
    </tableColumn>
    <tableColumn id="5" xr3:uid="{9F558027-FCB5-497E-B4D6-0B3C7D036A34}" name="April" totalsRowFunction="custom" dataDxfId="17" totalsRowDxfId="16" dataCellStyle="Comma">
      <totalsRowFormula>SUBTOTAL(9,Miscellaneous23455620[April])</totalsRowFormula>
    </tableColumn>
    <tableColumn id="6" xr3:uid="{A1DD57E3-6AF2-4884-ABC2-D77C50D517D1}" name="May" totalsRowFunction="custom" dataDxfId="15" totalsRowDxfId="14" dataCellStyle="Comma">
      <totalsRowFormula>SUBTOTAL(9,Miscellaneous23455620[May])</totalsRowFormula>
    </tableColumn>
    <tableColumn id="7" xr3:uid="{0C1D02A1-BE4B-46CD-9D4B-8E14F571D5BA}" name="June" totalsRowFunction="custom" dataDxfId="13" totalsRowDxfId="12" dataCellStyle="Comma">
      <totalsRowFormula>SUBTOTAL(9,Miscellaneous23455620[June])</totalsRowFormula>
    </tableColumn>
    <tableColumn id="8" xr3:uid="{53DBD39B-5433-43DD-9349-AE80A88D5FEA}" name="July" totalsRowFunction="custom" dataDxfId="11" totalsRowDxfId="10" dataCellStyle="Comma">
      <totalsRowFormula>SUBTOTAL(9,Miscellaneous23455620[July])</totalsRowFormula>
    </tableColumn>
    <tableColumn id="9" xr3:uid="{39AB922E-A49A-4FDF-915F-00EB1276DAFB}" name="August" totalsRowFunction="custom" dataDxfId="9" totalsRowDxfId="8">
      <totalsRowFormula>SUBTOTAL(9,Miscellaneous23455620[August])</totalsRowFormula>
    </tableColumn>
    <tableColumn id="10" xr3:uid="{58CAE511-0DAF-4CD0-BFA9-8681D7BF95D9}" name="September" totalsRowFunction="custom" dataDxfId="7" totalsRowDxfId="6">
      <totalsRowFormula>SUBTOTAL(9,Miscellaneous23455620[September])</totalsRowFormula>
    </tableColumn>
    <tableColumn id="11" xr3:uid="{B2268BF0-4F41-4FC8-BAAF-601429A68ED8}" name="October" totalsRowFunction="custom" dataDxfId="5" totalsRowDxfId="4">
      <totalsRowFormula>SUBTOTAL(9,Miscellaneous23455620[October])</totalsRowFormula>
    </tableColumn>
    <tableColumn id="12" xr3:uid="{C7F5A197-99EA-4E76-9445-43FF6AC02497}" name="November" totalsRowFunction="custom" dataDxfId="3" totalsRowDxfId="2">
      <totalsRowFormula>SUBTOTAL(9,Miscellaneous23455620[November])</totalsRowFormula>
    </tableColumn>
    <tableColumn id="13" xr3:uid="{215166FE-6655-47CA-A818-0AD3D146CBF4}" name="December" totalsRowFunction="custom" dataDxfId="1" totalsRowDxfId="0">
      <totalsRowFormula>SUBTOTAL(9,Miscellaneous23455620[December])</totalsRowFormula>
    </tableColumn>
  </tableColumns>
  <tableStyleInfo name="V42_ExpenseTable" showFirstColumn="1" showLastColumn="1" showRowStripes="0" showColumnStripes="0"/>
</table>
</file>

<file path=xl/theme/theme1.xml><?xml version="1.0" encoding="utf-8"?>
<a:theme xmlns:a="http://schemas.openxmlformats.org/drawingml/2006/main" name="Vertex42">
  <a:themeElements>
    <a:clrScheme name="V42-Blue2">
      <a:dk1>
        <a:sysClr val="windowText" lastClr="000000"/>
      </a:dk1>
      <a:lt1>
        <a:sysClr val="window" lastClr="FFFFFF"/>
      </a:lt1>
      <a:dk2>
        <a:srgbClr val="5E8BCE"/>
      </a:dk2>
      <a:lt2>
        <a:srgbClr val="EEECE2"/>
      </a:lt2>
      <a:accent1>
        <a:srgbClr val="3A5D9C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Vertex4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ctrlProp" Target="../ctrlProps/ctrlProp3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10" Type="http://schemas.openxmlformats.org/officeDocument/2006/relationships/table" Target="../tables/table17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A5E3-3582-4580-B79A-2E31E167553F}">
  <sheetPr codeName="Sheet8"/>
  <dimension ref="A1:AG148"/>
  <sheetViews>
    <sheetView tabSelected="1" workbookViewId="0">
      <selection activeCell="H26" sqref="H26"/>
    </sheetView>
  </sheetViews>
  <sheetFormatPr defaultColWidth="8.875" defaultRowHeight="15.75" x14ac:dyDescent="0.3"/>
  <cols>
    <col min="1" max="1" width="22.5" style="1" customWidth="1"/>
    <col min="2" max="9" width="10.625" style="1" customWidth="1"/>
    <col min="10" max="11" width="10.625" customWidth="1"/>
    <col min="12" max="13" width="11.125" bestFit="1" customWidth="1"/>
    <col min="14" max="14" width="0.625" customWidth="1"/>
    <col min="15" max="16" width="10.625" customWidth="1"/>
    <col min="17" max="17" width="9.875" bestFit="1" customWidth="1"/>
    <col min="34" max="16384" width="8.875" style="1"/>
  </cols>
  <sheetData>
    <row r="1" spans="1:33" ht="26.1" customHeight="1" x14ac:dyDescent="0.3">
      <c r="A1" s="14" t="s">
        <v>57</v>
      </c>
      <c r="B1" s="14"/>
      <c r="C1" s="14"/>
      <c r="D1" s="14"/>
      <c r="E1" s="14"/>
      <c r="F1" s="14"/>
      <c r="G1" s="14"/>
      <c r="H1" s="14"/>
      <c r="I1" s="14"/>
    </row>
    <row r="2" spans="1:33" s="2" customFormat="1" x14ac:dyDescent="0.3">
      <c r="A2" t="s">
        <v>70</v>
      </c>
      <c r="B2"/>
      <c r="C2" s="13"/>
      <c r="D2" s="13"/>
      <c r="E2" s="12"/>
      <c r="F2" s="12"/>
      <c r="H2" s="68"/>
      <c r="I2" s="68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s="2" customFormat="1" x14ac:dyDescent="0.3">
      <c r="A3"/>
      <c r="B3"/>
      <c r="C3" s="13"/>
      <c r="D3" s="13"/>
      <c r="E3" s="12"/>
      <c r="F3" s="12"/>
      <c r="H3" s="23"/>
      <c r="I3" s="2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s="2" customFormat="1" x14ac:dyDescent="0.3">
      <c r="A4" s="10" t="s">
        <v>54</v>
      </c>
      <c r="B4" s="11" t="s">
        <v>81</v>
      </c>
      <c r="C4" s="11" t="s">
        <v>82</v>
      </c>
      <c r="D4" s="11" t="s">
        <v>83</v>
      </c>
      <c r="E4" s="11" t="s">
        <v>84</v>
      </c>
      <c r="F4" s="11" t="s">
        <v>85</v>
      </c>
      <c r="G4" s="11" t="s">
        <v>71</v>
      </c>
      <c r="H4" s="11" t="s">
        <v>72</v>
      </c>
      <c r="I4" s="11" t="s">
        <v>73</v>
      </c>
      <c r="J4" s="11" t="s">
        <v>74</v>
      </c>
      <c r="K4" s="11" t="s">
        <v>75</v>
      </c>
      <c r="L4" s="11" t="s">
        <v>76</v>
      </c>
      <c r="M4" s="11" t="s">
        <v>77</v>
      </c>
      <c r="N4" s="44"/>
      <c r="O4" s="40" t="s">
        <v>94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s="2" customFormat="1" ht="16.5" x14ac:dyDescent="0.3">
      <c r="A5" s="33" t="s">
        <v>2</v>
      </c>
      <c r="B5" s="66">
        <f>SUBTOTAL(9,Income33647[January])</f>
        <v>0</v>
      </c>
      <c r="C5" s="66">
        <f>SUBTOTAL(9,Income33647[February])</f>
        <v>0</v>
      </c>
      <c r="D5" s="66">
        <f>SUBTOTAL(9,Income33647[March])</f>
        <v>0</v>
      </c>
      <c r="E5" s="66">
        <f>SUBTOTAL(9,Income33647[April])</f>
        <v>0</v>
      </c>
      <c r="F5" s="66">
        <f>SUBTOTAL(9,Income33647[May])</f>
        <v>0</v>
      </c>
      <c r="G5" s="66">
        <f>SUBTOTAL(9,Income33647[June])</f>
        <v>0</v>
      </c>
      <c r="H5" s="66">
        <f>SUBTOTAL(9,Income33647[July])</f>
        <v>0</v>
      </c>
      <c r="I5" s="66">
        <f>SUBTOTAL(9,Income33647[August])</f>
        <v>0</v>
      </c>
      <c r="J5" s="66">
        <f>SUBTOTAL(9,Income33647[September])</f>
        <v>0</v>
      </c>
      <c r="K5" s="66">
        <f>SUBTOTAL(9,Income33647[October])</f>
        <v>0</v>
      </c>
      <c r="L5" s="66">
        <f>SUBTOTAL(9,Income33647[November])</f>
        <v>0</v>
      </c>
      <c r="M5" s="66">
        <f>SUBTOTAL(9,Income33647[December])</f>
        <v>0</v>
      </c>
      <c r="N5" s="44"/>
      <c r="O5" s="34">
        <f>IF(SUM(BudgetSummary23546[[#This Row],[January]:[December]])&lt;&gt;0,AVERAGEIF(BudgetSummary23546[[#This Row],[January]:[December]],"&lt;&gt;0"),0)</f>
        <v>0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s="2" customFormat="1" ht="16.5" x14ac:dyDescent="0.3">
      <c r="A6" s="32" t="s">
        <v>3</v>
      </c>
      <c r="B6" s="65">
        <f>SUBTOTAL(9,B21:B88,B99:B109)</f>
        <v>0</v>
      </c>
      <c r="C6" s="65">
        <f t="shared" ref="C6:M6" si="0">SUBTOTAL(9,C21:C88,C99:C109)</f>
        <v>0</v>
      </c>
      <c r="D6" s="65">
        <f t="shared" si="0"/>
        <v>0</v>
      </c>
      <c r="E6" s="65">
        <f t="shared" si="0"/>
        <v>0</v>
      </c>
      <c r="F6" s="65">
        <f t="shared" si="0"/>
        <v>0</v>
      </c>
      <c r="G6" s="65">
        <f t="shared" si="0"/>
        <v>0</v>
      </c>
      <c r="H6" s="65">
        <f t="shared" si="0"/>
        <v>0</v>
      </c>
      <c r="I6" s="65">
        <f t="shared" si="0"/>
        <v>0</v>
      </c>
      <c r="J6" s="65">
        <f t="shared" si="0"/>
        <v>0</v>
      </c>
      <c r="K6" s="65">
        <f t="shared" si="0"/>
        <v>0</v>
      </c>
      <c r="L6" s="65">
        <f t="shared" si="0"/>
        <v>0</v>
      </c>
      <c r="M6" s="65">
        <f t="shared" si="0"/>
        <v>0</v>
      </c>
      <c r="N6" s="44"/>
      <c r="O6" s="34">
        <f>IF(SUM(BudgetSummary23546[[#This Row],[January]:[December]])&lt;&gt;0,AVERAGEIF(BudgetSummary23546[[#This Row],[January]:[December]],"&lt;&gt;0"),0)</f>
        <v>0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s="2" customFormat="1" x14ac:dyDescent="0.3">
      <c r="A7" t="s">
        <v>88</v>
      </c>
      <c r="B7" s="31">
        <f>B5-B6</f>
        <v>0</v>
      </c>
      <c r="C7" s="31">
        <f t="shared" ref="C7:M7" si="1">C5-C6</f>
        <v>0</v>
      </c>
      <c r="D7" s="31">
        <f t="shared" si="1"/>
        <v>0</v>
      </c>
      <c r="E7" s="31">
        <f t="shared" si="1"/>
        <v>0</v>
      </c>
      <c r="F7" s="31">
        <f t="shared" si="1"/>
        <v>0</v>
      </c>
      <c r="G7" s="31">
        <f t="shared" si="1"/>
        <v>0</v>
      </c>
      <c r="H7" s="31">
        <f t="shared" si="1"/>
        <v>0</v>
      </c>
      <c r="I7" s="31">
        <f t="shared" si="1"/>
        <v>0</v>
      </c>
      <c r="J7" s="31">
        <f t="shared" si="1"/>
        <v>0</v>
      </c>
      <c r="K7" s="31">
        <f t="shared" si="1"/>
        <v>0</v>
      </c>
      <c r="L7" s="31">
        <f t="shared" si="1"/>
        <v>0</v>
      </c>
      <c r="M7" s="31">
        <f t="shared" si="1"/>
        <v>0</v>
      </c>
      <c r="N7" s="44"/>
      <c r="O7" s="34">
        <f>IF(SUM(BudgetSummary23546[[#Totals],[January]:[December]])&lt;&gt;0,AVERAGEIF(BudgetSummary23546[[#Totals],[January]:[December]],"&lt;&gt;0"),0)</f>
        <v>0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 s="2" customFormat="1" x14ac:dyDescent="0.3">
      <c r="A8" s="35" t="s">
        <v>90</v>
      </c>
      <c r="B8" s="36">
        <f>SUM($B$7:B7)</f>
        <v>0</v>
      </c>
      <c r="C8" s="36">
        <f>SUM($B$7:C7)</f>
        <v>0</v>
      </c>
      <c r="D8" s="36">
        <f>SUM($B$7:D7)</f>
        <v>0</v>
      </c>
      <c r="E8" s="36">
        <f>SUM($B$7:E7)</f>
        <v>0</v>
      </c>
      <c r="F8" s="36">
        <f>SUM($B$7:F7)</f>
        <v>0</v>
      </c>
      <c r="G8" s="36">
        <f>SUM($B$7:G7)</f>
        <v>0</v>
      </c>
      <c r="H8" s="36">
        <f>SUM($B$7:H7)</f>
        <v>0</v>
      </c>
      <c r="I8" s="36">
        <f>SUM($B$7:I7)</f>
        <v>0</v>
      </c>
      <c r="J8" s="36">
        <f>SUM($B$7:J7)</f>
        <v>0</v>
      </c>
      <c r="K8" s="36">
        <f>SUM($B$7:K7)</f>
        <v>0</v>
      </c>
      <c r="L8" s="36">
        <f>SUM($B$7:L7)</f>
        <v>0</v>
      </c>
      <c r="M8" s="37">
        <f>SUM($B$7:M7)</f>
        <v>0</v>
      </c>
      <c r="N8" s="44"/>
      <c r="O8" s="34">
        <f>IF(SUM(BudgetSummary23546[[#Totals],[January]:[December]])&lt;&gt;0,AVERAGEIF(BudgetSummary23546[[#Totals],[January]:[December]],"&lt;&gt;0"),0)</f>
        <v>0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x14ac:dyDescent="0.3">
      <c r="A9" s="2"/>
      <c r="B9" s="2"/>
      <c r="C9" s="2"/>
      <c r="D9" s="2"/>
      <c r="E9" s="3"/>
      <c r="F9" s="2"/>
      <c r="G9" s="2"/>
      <c r="H9" s="2"/>
      <c r="N9" s="43"/>
    </row>
    <row r="10" spans="1:33" ht="16.5" thickBot="1" x14ac:dyDescent="0.35">
      <c r="A10" s="8" t="s">
        <v>1</v>
      </c>
      <c r="B10" s="29" t="s">
        <v>81</v>
      </c>
      <c r="C10" s="29" t="s">
        <v>82</v>
      </c>
      <c r="D10" s="29" t="s">
        <v>83</v>
      </c>
      <c r="E10" s="29" t="s">
        <v>84</v>
      </c>
      <c r="F10" s="29" t="s">
        <v>85</v>
      </c>
      <c r="G10" s="29" t="s">
        <v>71</v>
      </c>
      <c r="H10" s="30" t="s">
        <v>72</v>
      </c>
      <c r="I10" s="30" t="s">
        <v>73</v>
      </c>
      <c r="J10" s="30" t="s">
        <v>74</v>
      </c>
      <c r="K10" s="30" t="s">
        <v>75</v>
      </c>
      <c r="L10" s="30" t="s">
        <v>76</v>
      </c>
      <c r="M10" s="30" t="s">
        <v>77</v>
      </c>
      <c r="N10" s="43"/>
      <c r="O10" s="42" t="s">
        <v>94</v>
      </c>
    </row>
    <row r="11" spans="1:33" x14ac:dyDescent="0.3">
      <c r="A11" s="1" t="s">
        <v>95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43"/>
      <c r="O11" s="41">
        <f>IF(SUM(Income33647[[#This Row],[January]:[December]])&lt;&gt;0,AVERAGEIF(Income33647[[#This Row],[January]:[December]],"&lt;&gt;0"),0)</f>
        <v>0</v>
      </c>
    </row>
    <row r="12" spans="1:33" x14ac:dyDescent="0.3">
      <c r="A12" s="27" t="s">
        <v>78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43"/>
      <c r="O12" s="41">
        <f>IF(SUM(Income33647[[#This Row],[January]:[December]])&lt;&gt;0,AVERAGEIF(Income33647[[#This Row],[January]:[December]],"&lt;&gt;0"),0)</f>
        <v>0</v>
      </c>
    </row>
    <row r="13" spans="1:33" x14ac:dyDescent="0.3">
      <c r="A13" s="1" t="s">
        <v>4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43"/>
      <c r="O13" s="41">
        <f>IF(SUM(Income33647[[#This Row],[January]:[December]])&lt;&gt;0,AVERAGEIF(Income33647[[#This Row],[January]:[December]],"&lt;&gt;0"),0)</f>
        <v>0</v>
      </c>
    </row>
    <row r="14" spans="1:33" s="2" customFormat="1" x14ac:dyDescent="0.3">
      <c r="A14" s="1" t="s">
        <v>5</v>
      </c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43"/>
      <c r="O14" s="41">
        <f>IF(SUM(Income33647[[#This Row],[January]:[December]])&lt;&gt;0,AVERAGEIF(Income33647[[#This Row],[January]:[December]],"&lt;&gt;0"),0)</f>
        <v>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 s="2" customFormat="1" x14ac:dyDescent="0.3">
      <c r="A15" s="27" t="s">
        <v>89</v>
      </c>
      <c r="B15" s="57"/>
      <c r="C15" s="57"/>
      <c r="D15" s="57"/>
      <c r="E15" s="64"/>
      <c r="F15" s="57"/>
      <c r="G15" s="57"/>
      <c r="H15" s="57"/>
      <c r="I15" s="57"/>
      <c r="J15" s="57"/>
      <c r="K15" s="57"/>
      <c r="L15" s="57"/>
      <c r="M15" s="57"/>
      <c r="N15" s="43"/>
      <c r="O15" s="41">
        <f>IF(SUM(Income33647[[#This Row],[January]:[December]])&lt;&gt;0,AVERAGEIF(Income33647[[#This Row],[January]:[December]],"&lt;&gt;0"),0)</f>
        <v>0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x14ac:dyDescent="0.3">
      <c r="A16" s="1" t="s">
        <v>9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43"/>
      <c r="O16" s="41">
        <f>IF(SUM(Income33647[[#This Row],[January]:[December]])&lt;&gt;0,AVERAGEIF(Income33647[[#This Row],[January]:[December]],"&lt;&gt;0"),0)</f>
        <v>0</v>
      </c>
    </row>
    <row r="17" spans="1:33" x14ac:dyDescent="0.3">
      <c r="A17" s="1" t="s">
        <v>14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43"/>
      <c r="O17" s="41">
        <f>IF(SUM(Income33647[[#This Row],[January]:[December]])&lt;&gt;0,AVERAGEIF(Income33647[[#This Row],[January]:[December]],"&lt;&gt;0"),0)</f>
        <v>0</v>
      </c>
    </row>
    <row r="18" spans="1:33" x14ac:dyDescent="0.3">
      <c r="A18" s="9" t="str">
        <f>"Total " &amp; Income33647[[#Headers],[INCOME]]</f>
        <v>Total INCOME</v>
      </c>
      <c r="B18" s="38">
        <f>SUBTOTAL(9,Income33647[January])</f>
        <v>0</v>
      </c>
      <c r="C18" s="38">
        <f>SUBTOTAL(9,Income33647[February])</f>
        <v>0</v>
      </c>
      <c r="D18" s="38">
        <f>SUBTOTAL(9,Income33647[March])</f>
        <v>0</v>
      </c>
      <c r="E18" s="38">
        <f>SUBTOTAL(9,Income33647[April])</f>
        <v>0</v>
      </c>
      <c r="F18" s="38">
        <f>SUBTOTAL(9,Income33647[May])</f>
        <v>0</v>
      </c>
      <c r="G18" s="38">
        <f>SUBTOTAL(9,Income33647[June])</f>
        <v>0</v>
      </c>
      <c r="H18" s="38">
        <f>SUBTOTAL(9,Income33647[July])</f>
        <v>0</v>
      </c>
      <c r="I18" s="38">
        <f>SUBTOTAL(9,Income33647[August])</f>
        <v>0</v>
      </c>
      <c r="J18" s="38">
        <f>SUBTOTAL(9,Income33647[September])</f>
        <v>0</v>
      </c>
      <c r="K18" s="38">
        <f>SUBTOTAL(9,Income33647[October])</f>
        <v>0</v>
      </c>
      <c r="L18" s="38">
        <f>SUBTOTAL(9,Income33647[November])</f>
        <v>0</v>
      </c>
      <c r="M18" s="38">
        <f>SUBTOTAL(9,Income33647[December])</f>
        <v>0</v>
      </c>
      <c r="N18" s="43"/>
      <c r="O18" s="41">
        <f>IF(SUM(Income33647[[#Totals],[January]:[December]])&lt;&gt;0,AVERAGEIF(Income33647[[#Totals],[January]:[December]],"&lt;&gt;0"),0)</f>
        <v>0</v>
      </c>
    </row>
    <row r="19" spans="1:33" x14ac:dyDescent="0.3">
      <c r="A19" s="9"/>
      <c r="B19" s="7"/>
      <c r="C19" s="7"/>
      <c r="D19" s="7"/>
      <c r="E19" s="7"/>
      <c r="F19" s="7"/>
      <c r="G19" s="7"/>
      <c r="H19" s="7"/>
      <c r="N19" s="43"/>
      <c r="O19" s="41"/>
    </row>
    <row r="20" spans="1:33" ht="16.5" thickBot="1" x14ac:dyDescent="0.35">
      <c r="A20" s="8" t="s">
        <v>11</v>
      </c>
      <c r="B20" s="29" t="s">
        <v>81</v>
      </c>
      <c r="C20" s="29" t="s">
        <v>82</v>
      </c>
      <c r="D20" s="29" t="s">
        <v>83</v>
      </c>
      <c r="E20" s="29" t="s">
        <v>84</v>
      </c>
      <c r="F20" s="29" t="s">
        <v>85</v>
      </c>
      <c r="G20" s="29" t="s">
        <v>71</v>
      </c>
      <c r="H20" s="30" t="s">
        <v>72</v>
      </c>
      <c r="I20" s="30" t="s">
        <v>73</v>
      </c>
      <c r="J20" s="30" t="s">
        <v>74</v>
      </c>
      <c r="K20" s="30" t="s">
        <v>75</v>
      </c>
      <c r="L20" s="30" t="s">
        <v>76</v>
      </c>
      <c r="M20" s="30" t="s">
        <v>77</v>
      </c>
      <c r="N20" s="43"/>
      <c r="O20" s="42" t="s">
        <v>94</v>
      </c>
    </row>
    <row r="21" spans="1:33" x14ac:dyDescent="0.3">
      <c r="A21" s="1" t="s">
        <v>46</v>
      </c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43"/>
      <c r="O21" s="41">
        <f>IF(SUM(HomeExpenses43748[[#This Row],[January]:[December]])&lt;&gt;0,AVERAGEIF(HomeExpenses43748[[#This Row],[January]:[December]],"&lt;&gt;0"),0)</f>
        <v>0</v>
      </c>
    </row>
    <row r="22" spans="1:33" x14ac:dyDescent="0.3">
      <c r="A22" s="1" t="s">
        <v>58</v>
      </c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43"/>
      <c r="O22" s="41">
        <f>IF(SUM(HomeExpenses43748[[#This Row],[January]:[December]])&lt;&gt;0,AVERAGEIF(HomeExpenses43748[[#This Row],[January]:[December]],"&lt;&gt;0"),0)</f>
        <v>0</v>
      </c>
    </row>
    <row r="23" spans="1:33" x14ac:dyDescent="0.3">
      <c r="A23" s="1" t="s">
        <v>12</v>
      </c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43"/>
      <c r="O23" s="41">
        <f>IF(SUM(HomeExpenses43748[[#This Row],[January]:[December]])&lt;&gt;0,AVERAGEIF(HomeExpenses43748[[#This Row],[January]:[December]],"&lt;&gt;0"),0)</f>
        <v>0</v>
      </c>
    </row>
    <row r="24" spans="1:33" s="4" customFormat="1" x14ac:dyDescent="0.3">
      <c r="A24" s="1" t="s">
        <v>45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43"/>
      <c r="O24" s="41">
        <f>IF(SUM(HomeExpenses43748[[#This Row],[January]:[December]])&lt;&gt;0,AVERAGEIF(HomeExpenses43748[[#This Row],[January]:[December]],"&lt;&gt;0"),0)</f>
        <v>0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x14ac:dyDescent="0.3">
      <c r="A25" s="1" t="s">
        <v>44</v>
      </c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43"/>
      <c r="O25" s="41">
        <f>IF(SUM(HomeExpenses43748[[#This Row],[January]:[December]])&lt;&gt;0,AVERAGEIF(HomeExpenses43748[[#This Row],[January]:[December]],"&lt;&gt;0"),0)</f>
        <v>0</v>
      </c>
    </row>
    <row r="26" spans="1:33" x14ac:dyDescent="0.3">
      <c r="A26" s="1" t="s">
        <v>16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43"/>
      <c r="O26" s="41">
        <f>IF(SUM(HomeExpenses43748[[#This Row],[January]:[December]])&lt;&gt;0,AVERAGEIF(HomeExpenses43748[[#This Row],[January]:[December]],"&lt;&gt;0"),0)</f>
        <v>0</v>
      </c>
    </row>
    <row r="27" spans="1:33" x14ac:dyDescent="0.3">
      <c r="A27" s="1" t="s">
        <v>43</v>
      </c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43"/>
      <c r="O27" s="41">
        <f>IF(SUM(HomeExpenses43748[[#This Row],[January]:[December]])&lt;&gt;0,AVERAGEIF(HomeExpenses43748[[#This Row],[January]:[December]],"&lt;&gt;0"),0)</f>
        <v>0</v>
      </c>
    </row>
    <row r="28" spans="1:33" x14ac:dyDescent="0.3">
      <c r="A28" s="1" t="s">
        <v>13</v>
      </c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43"/>
      <c r="O28" s="41">
        <f>IF(SUM(HomeExpenses43748[[#This Row],[January]:[December]])&lt;&gt;0,AVERAGEIF(HomeExpenses43748[[#This Row],[January]:[December]],"&lt;&gt;0"),0)</f>
        <v>0</v>
      </c>
    </row>
    <row r="29" spans="1:33" x14ac:dyDescent="0.3">
      <c r="A29" s="1" t="s">
        <v>42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43"/>
      <c r="O29" s="41">
        <f>IF(SUM(HomeExpenses43748[[#This Row],[January]:[December]])&lt;&gt;0,AVERAGEIF(HomeExpenses43748[[#This Row],[January]:[December]],"&lt;&gt;0"),0)</f>
        <v>0</v>
      </c>
    </row>
    <row r="30" spans="1:33" x14ac:dyDescent="0.3">
      <c r="A30" s="1" t="s">
        <v>41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43"/>
      <c r="O30" s="41">
        <f>IF(SUM(HomeExpenses43748[[#This Row],[January]:[December]])&lt;&gt;0,AVERAGEIF(HomeExpenses43748[[#This Row],[January]:[December]],"&lt;&gt;0"),0)</f>
        <v>0</v>
      </c>
    </row>
    <row r="31" spans="1:33" x14ac:dyDescent="0.3">
      <c r="A31" s="1" t="s">
        <v>59</v>
      </c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43"/>
      <c r="O31" s="41">
        <f>IF(SUM(HomeExpenses43748[[#This Row],[January]:[December]])&lt;&gt;0,AVERAGEIF(HomeExpenses43748[[#This Row],[January]:[December]],"&lt;&gt;0"),0)</f>
        <v>0</v>
      </c>
    </row>
    <row r="32" spans="1:33" x14ac:dyDescent="0.3">
      <c r="A32" s="1" t="s">
        <v>15</v>
      </c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43"/>
      <c r="O32" s="41">
        <f>IF(SUM(HomeExpenses43748[[#This Row],[January]:[December]])&lt;&gt;0,AVERAGEIF(HomeExpenses43748[[#This Row],[January]:[December]],"&lt;&gt;0"),0)</f>
        <v>0</v>
      </c>
    </row>
    <row r="33" spans="1:15" x14ac:dyDescent="0.3">
      <c r="A33" s="1" t="s">
        <v>14</v>
      </c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43"/>
      <c r="O33" s="41">
        <f>IF(SUM(HomeExpenses43748[[#This Row],[January]:[December]])&lt;&gt;0,AVERAGEIF(HomeExpenses43748[[#This Row],[January]:[December]],"&lt;&gt;0"),0)</f>
        <v>0</v>
      </c>
    </row>
    <row r="34" spans="1:15" x14ac:dyDescent="0.3">
      <c r="A34" s="9" t="str">
        <f>"Total " &amp; HomeExpenses43748[[#Headers],[HOME EXPENSES]]</f>
        <v>Total HOME EXPENSES</v>
      </c>
      <c r="B34" s="38">
        <f>SUBTOTAL(9,HomeExpenses43748[January])</f>
        <v>0</v>
      </c>
      <c r="C34" s="38">
        <f>SUBTOTAL(9,HomeExpenses43748[February])</f>
        <v>0</v>
      </c>
      <c r="D34" s="38">
        <f>SUBTOTAL(9,HomeExpenses43748[March])</f>
        <v>0</v>
      </c>
      <c r="E34" s="38">
        <f>SUBTOTAL(9,HomeExpenses43748[April])</f>
        <v>0</v>
      </c>
      <c r="F34" s="38">
        <f>SUBTOTAL(9,HomeExpenses43748[May])</f>
        <v>0</v>
      </c>
      <c r="G34" s="38">
        <f>SUBTOTAL(9,HomeExpenses43748[June])</f>
        <v>0</v>
      </c>
      <c r="H34" s="38">
        <f>SUBTOTAL(9,HomeExpenses43748[July])</f>
        <v>0</v>
      </c>
      <c r="I34" s="38">
        <f>SUBTOTAL(9,HomeExpenses43748[August])</f>
        <v>0</v>
      </c>
      <c r="J34" s="38">
        <f>SUBTOTAL(9,HomeExpenses43748[September])</f>
        <v>0</v>
      </c>
      <c r="K34" s="38">
        <f>SUBTOTAL(9,HomeExpenses43748[October])</f>
        <v>0</v>
      </c>
      <c r="L34" s="38">
        <f>SUBTOTAL(9,HomeExpenses43748[November])</f>
        <v>0</v>
      </c>
      <c r="M34" s="38">
        <f>SUBTOTAL(9,HomeExpenses43748[December])</f>
        <v>0</v>
      </c>
      <c r="N34" s="43"/>
      <c r="O34" s="41">
        <f>IF(SUM(HomeExpenses43748[[#Totals],[January]:[December]])&lt;&gt;0,AVERAGEIF(HomeExpenses43748[[#Totals],[January]:[December]],"&lt;&gt;0"),0)</f>
        <v>0</v>
      </c>
    </row>
    <row r="35" spans="1:15" x14ac:dyDescent="0.3">
      <c r="B35" s="6"/>
      <c r="C35" s="6"/>
      <c r="D35" s="6"/>
      <c r="N35" s="43"/>
      <c r="O35" s="41"/>
    </row>
    <row r="36" spans="1:15" ht="16.5" thickBot="1" x14ac:dyDescent="0.35">
      <c r="A36" s="8" t="s">
        <v>17</v>
      </c>
      <c r="B36" s="29" t="s">
        <v>81</v>
      </c>
      <c r="C36" s="29" t="s">
        <v>82</v>
      </c>
      <c r="D36" s="29" t="s">
        <v>83</v>
      </c>
      <c r="E36" s="29" t="s">
        <v>84</v>
      </c>
      <c r="F36" s="29" t="s">
        <v>85</v>
      </c>
      <c r="G36" s="29" t="s">
        <v>71</v>
      </c>
      <c r="H36" s="30" t="s">
        <v>72</v>
      </c>
      <c r="I36" s="30" t="s">
        <v>73</v>
      </c>
      <c r="J36" s="30" t="s">
        <v>74</v>
      </c>
      <c r="K36" s="30" t="s">
        <v>75</v>
      </c>
      <c r="L36" s="30" t="s">
        <v>76</v>
      </c>
      <c r="M36" s="30" t="s">
        <v>77</v>
      </c>
      <c r="N36" s="43"/>
      <c r="O36" s="42" t="s">
        <v>94</v>
      </c>
    </row>
    <row r="37" spans="1:15" x14ac:dyDescent="0.3">
      <c r="A37" s="1" t="s">
        <v>18</v>
      </c>
      <c r="B37" s="25"/>
      <c r="C37" s="24"/>
      <c r="D37" s="25"/>
      <c r="E37" s="24"/>
      <c r="F37" s="25"/>
      <c r="G37" s="25"/>
      <c r="H37" s="25"/>
      <c r="I37" s="25"/>
      <c r="J37" s="25"/>
      <c r="K37" s="25"/>
      <c r="L37" s="25"/>
      <c r="M37" s="25"/>
      <c r="N37" s="43"/>
      <c r="O37" s="41">
        <f>IF(SUM(Transportation53849[[#This Row],[January]:[December]])&lt;&gt;0,AVERAGEIF(Transportation53849[[#This Row],[January]:[December]],"&lt;&gt;0"),0)</f>
        <v>0</v>
      </c>
    </row>
    <row r="38" spans="1:15" x14ac:dyDescent="0.3">
      <c r="A38" s="1" t="s">
        <v>60</v>
      </c>
      <c r="B38" s="26"/>
      <c r="C38" s="24"/>
      <c r="D38" s="26"/>
      <c r="E38" s="24"/>
      <c r="F38" s="26"/>
      <c r="G38" s="26"/>
      <c r="H38" s="26"/>
      <c r="I38" s="26"/>
      <c r="J38" s="26"/>
      <c r="K38" s="26"/>
      <c r="L38" s="26"/>
      <c r="M38" s="26"/>
      <c r="N38" s="43"/>
      <c r="O38" s="41">
        <f>IF(SUM(Transportation53849[[#This Row],[January]:[December]])&lt;&gt;0,AVERAGEIF(Transportation53849[[#This Row],[January]:[December]],"&lt;&gt;0"),0)</f>
        <v>0</v>
      </c>
    </row>
    <row r="39" spans="1:15" x14ac:dyDescent="0.3">
      <c r="A39" s="1" t="s">
        <v>19</v>
      </c>
      <c r="B39" s="26"/>
      <c r="C39" s="24"/>
      <c r="D39" s="26"/>
      <c r="E39" s="24"/>
      <c r="F39" s="26"/>
      <c r="G39" s="26"/>
      <c r="H39" s="26"/>
      <c r="I39" s="26"/>
      <c r="J39" s="26"/>
      <c r="K39" s="26"/>
      <c r="L39" s="26"/>
      <c r="M39" s="26"/>
      <c r="N39" s="43"/>
      <c r="O39" s="41">
        <f>IF(SUM(Transportation53849[[#This Row],[January]:[December]])&lt;&gt;0,AVERAGEIF(Transportation53849[[#This Row],[January]:[December]],"&lt;&gt;0"),0)</f>
        <v>0</v>
      </c>
    </row>
    <row r="40" spans="1:15" x14ac:dyDescent="0.3">
      <c r="A40" s="1" t="s">
        <v>87</v>
      </c>
      <c r="B40" s="26"/>
      <c r="C40" s="24"/>
      <c r="D40" s="26"/>
      <c r="E40" s="24"/>
      <c r="F40" s="26"/>
      <c r="G40" s="26"/>
      <c r="H40" s="26"/>
      <c r="I40" s="26"/>
      <c r="J40" s="26"/>
      <c r="K40" s="26"/>
      <c r="L40" s="26"/>
      <c r="M40" s="26"/>
      <c r="N40" s="43"/>
      <c r="O40" s="41">
        <f>IF(SUM(Transportation53849[[#This Row],[January]:[December]])&lt;&gt;0,AVERAGEIF(Transportation53849[[#This Row],[January]:[December]],"&lt;&gt;0"),0)</f>
        <v>0</v>
      </c>
    </row>
    <row r="41" spans="1:15" x14ac:dyDescent="0.3">
      <c r="A41" s="1" t="s">
        <v>92</v>
      </c>
      <c r="B41" s="26"/>
      <c r="C41" s="24"/>
      <c r="D41" s="26"/>
      <c r="E41" s="24"/>
      <c r="F41" s="26"/>
      <c r="G41" s="26"/>
      <c r="H41" s="26"/>
      <c r="I41" s="26"/>
      <c r="J41" s="26"/>
      <c r="K41" s="26"/>
      <c r="L41" s="26"/>
      <c r="M41" s="26"/>
      <c r="N41" s="43"/>
      <c r="O41" s="41">
        <f>IF(SUM(Transportation53849[[#This Row],[January]:[December]])&lt;&gt;0,AVERAGEIF(Transportation53849[[#This Row],[January]:[December]],"&lt;&gt;0"),0)</f>
        <v>0</v>
      </c>
    </row>
    <row r="42" spans="1:15" x14ac:dyDescent="0.3">
      <c r="A42" s="1" t="s">
        <v>40</v>
      </c>
      <c r="B42" s="26"/>
      <c r="C42" s="24"/>
      <c r="D42" s="26"/>
      <c r="E42" s="24"/>
      <c r="F42" s="26"/>
      <c r="G42" s="26"/>
      <c r="H42" s="26"/>
      <c r="I42" s="26"/>
      <c r="J42" s="26"/>
      <c r="K42" s="26"/>
      <c r="L42" s="26"/>
      <c r="M42" s="26"/>
      <c r="N42" s="43"/>
      <c r="O42" s="41">
        <f>IF(SUM(Transportation53849[[#This Row],[January]:[December]])&lt;&gt;0,AVERAGEIF(Transportation53849[[#This Row],[January]:[December]],"&lt;&gt;0"),0)</f>
        <v>0</v>
      </c>
    </row>
    <row r="43" spans="1:15" x14ac:dyDescent="0.3">
      <c r="A43" s="1" t="s">
        <v>14</v>
      </c>
      <c r="B43" s="26"/>
      <c r="C43" s="25"/>
      <c r="D43" s="26"/>
      <c r="E43" s="25"/>
      <c r="F43" s="26"/>
      <c r="G43" s="26"/>
      <c r="H43" s="26"/>
      <c r="I43" s="26"/>
      <c r="J43" s="26"/>
      <c r="K43" s="26"/>
      <c r="L43" s="26"/>
      <c r="M43" s="26"/>
      <c r="N43" s="43"/>
      <c r="O43" s="41">
        <f>IF(SUM(Transportation53849[[#This Row],[January]:[December]])&lt;&gt;0,AVERAGEIF(Transportation53849[[#This Row],[January]:[December]],"&lt;&gt;0"),0)</f>
        <v>0</v>
      </c>
    </row>
    <row r="44" spans="1:15" x14ac:dyDescent="0.3">
      <c r="A44" s="9" t="str">
        <f>"Total " &amp; Transportation53849[[#Headers],[TRANSPORTATION]]</f>
        <v>Total TRANSPORTATION</v>
      </c>
      <c r="B44" s="7">
        <f>SUBTOTAL(9,Transportation53849[January])</f>
        <v>0</v>
      </c>
      <c r="C44" s="7">
        <f>SUBTOTAL(9,Transportation53849[February])</f>
        <v>0</v>
      </c>
      <c r="D44" s="7">
        <f>SUBTOTAL(9,Transportation53849[March])</f>
        <v>0</v>
      </c>
      <c r="E44" s="7">
        <f>SUBTOTAL(9,Transportation53849[April])</f>
        <v>0</v>
      </c>
      <c r="F44" s="7">
        <f>SUBTOTAL(9,Transportation53849[May])</f>
        <v>0</v>
      </c>
      <c r="G44" s="7">
        <f>SUBTOTAL(9,Transportation53849[June])</f>
        <v>0</v>
      </c>
      <c r="H44" s="7">
        <f>SUBTOTAL(9,Transportation53849[July])</f>
        <v>0</v>
      </c>
      <c r="I44" s="7">
        <f>SUBTOTAL(9,Transportation53849[August])</f>
        <v>0</v>
      </c>
      <c r="J44" s="7">
        <f>SUBTOTAL(9,Transportation53849[September])</f>
        <v>0</v>
      </c>
      <c r="K44" s="7">
        <f>SUBTOTAL(9,Transportation53849[October])</f>
        <v>0</v>
      </c>
      <c r="L44" s="7">
        <f>SUBTOTAL(9,Transportation53849[November])</f>
        <v>0</v>
      </c>
      <c r="M44" s="7">
        <f>SUBTOTAL(9,Transportation53849[December])</f>
        <v>0</v>
      </c>
      <c r="N44" s="43"/>
      <c r="O44" s="41">
        <f>IF(SUM(Transportation53849[[#Totals],[January]:[December]])&lt;&gt;0,AVERAGEIF(Transportation53849[[#Totals],[January]:[December]],"&lt;&gt;0"),0)</f>
        <v>0</v>
      </c>
    </row>
    <row r="45" spans="1:15" x14ac:dyDescent="0.3">
      <c r="B45" s="6"/>
      <c r="C45" s="6"/>
      <c r="D45" s="6"/>
      <c r="N45" s="43"/>
      <c r="O45" s="41"/>
    </row>
    <row r="46" spans="1:15" ht="16.5" thickBot="1" x14ac:dyDescent="0.35">
      <c r="A46" s="8" t="s">
        <v>20</v>
      </c>
      <c r="B46" s="29" t="s">
        <v>81</v>
      </c>
      <c r="C46" s="29" t="s">
        <v>82</v>
      </c>
      <c r="D46" s="29" t="s">
        <v>83</v>
      </c>
      <c r="E46" s="29" t="s">
        <v>84</v>
      </c>
      <c r="F46" s="29" t="s">
        <v>85</v>
      </c>
      <c r="G46" s="29" t="s">
        <v>71</v>
      </c>
      <c r="H46" s="30" t="s">
        <v>72</v>
      </c>
      <c r="I46" s="30" t="s">
        <v>73</v>
      </c>
      <c r="J46" s="30" t="s">
        <v>74</v>
      </c>
      <c r="K46" s="30" t="s">
        <v>75</v>
      </c>
      <c r="L46" s="30" t="s">
        <v>76</v>
      </c>
      <c r="M46" s="30" t="s">
        <v>77</v>
      </c>
      <c r="N46" s="43"/>
      <c r="O46" s="42" t="s">
        <v>94</v>
      </c>
    </row>
    <row r="47" spans="1:15" x14ac:dyDescent="0.3">
      <c r="A47" s="1" t="s">
        <v>61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43"/>
      <c r="O47" s="41">
        <f>IF(SUM(Health103950[[#This Row],[January]:[December]])&lt;&gt;0,AVERAGEIF(Health103950[[#This Row],[January]:[December]],"&lt;&gt;0"),0)</f>
        <v>0</v>
      </c>
    </row>
    <row r="48" spans="1:15" x14ac:dyDescent="0.3">
      <c r="A48" s="1" t="s">
        <v>21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43"/>
      <c r="O48" s="41">
        <f>IF(SUM(Health103950[[#This Row],[January]:[December]])&lt;&gt;0,AVERAGEIF(Health103950[[#This Row],[January]:[December]],"&lt;&gt;0"),0)</f>
        <v>0</v>
      </c>
    </row>
    <row r="49" spans="1:15" x14ac:dyDescent="0.3">
      <c r="A49" s="1" t="s">
        <v>22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43"/>
      <c r="O49" s="41">
        <f>IF(SUM(Health103950[[#This Row],[January]:[December]])&lt;&gt;0,AVERAGEIF(Health103950[[#This Row],[January]:[December]],"&lt;&gt;0"),0)</f>
        <v>0</v>
      </c>
    </row>
    <row r="50" spans="1:15" x14ac:dyDescent="0.3">
      <c r="A50" s="1" t="s">
        <v>23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43"/>
      <c r="O50" s="41">
        <f>IF(SUM(Health103950[[#This Row],[January]:[December]])&lt;&gt;0,AVERAGEIF(Health103950[[#This Row],[January]:[December]],"&lt;&gt;0"),0)</f>
        <v>0</v>
      </c>
    </row>
    <row r="51" spans="1:15" x14ac:dyDescent="0.3">
      <c r="A51" s="1" t="s">
        <v>62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43"/>
      <c r="O51" s="41">
        <f>IF(SUM(Health103950[[#This Row],[January]:[December]])&lt;&gt;0,AVERAGEIF(Health103950[[#This Row],[January]:[December]],"&lt;&gt;0"),0)</f>
        <v>0</v>
      </c>
    </row>
    <row r="52" spans="1:15" x14ac:dyDescent="0.3">
      <c r="A52" s="1" t="s">
        <v>63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43"/>
      <c r="O52" s="41">
        <f>IF(SUM(Health103950[[#This Row],[January]:[December]])&lt;&gt;0,AVERAGEIF(Health103950[[#This Row],[January]:[December]],"&lt;&gt;0"),0)</f>
        <v>0</v>
      </c>
    </row>
    <row r="53" spans="1:15" x14ac:dyDescent="0.3">
      <c r="A53" s="1" t="s">
        <v>14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43"/>
      <c r="O53" s="41">
        <f>IF(SUM(Health103950[[#This Row],[January]:[December]])&lt;&gt;0,AVERAGEIF(Health103950[[#This Row],[January]:[December]],"&lt;&gt;0"),0)</f>
        <v>0</v>
      </c>
    </row>
    <row r="54" spans="1:15" x14ac:dyDescent="0.3">
      <c r="A54" s="9" t="str">
        <f>"Total " &amp; Health103950[[#Headers],[HEALTH]]</f>
        <v>Total HEALTH</v>
      </c>
      <c r="B54" s="7">
        <f>SUBTOTAL(9,Health103950[January])</f>
        <v>0</v>
      </c>
      <c r="C54" s="7">
        <f>SUBTOTAL(9,Health103950[February])</f>
        <v>0</v>
      </c>
      <c r="D54" s="7">
        <f>SUBTOTAL(9,Health103950[March])</f>
        <v>0</v>
      </c>
      <c r="E54" s="7">
        <f>SUBTOTAL(9,Health103950[April])</f>
        <v>0</v>
      </c>
      <c r="F54" s="7">
        <f>SUBTOTAL(9,Health103950[May])</f>
        <v>0</v>
      </c>
      <c r="G54" s="7">
        <f>SUBTOTAL(9,Health103950[June])</f>
        <v>0</v>
      </c>
      <c r="H54" s="7">
        <f>SUBTOTAL(9,Health103950[July])</f>
        <v>0</v>
      </c>
      <c r="I54" s="7">
        <f>SUBTOTAL(9,Health103950[August])</f>
        <v>0</v>
      </c>
      <c r="J54" s="7">
        <f>SUBTOTAL(9,Health103950[September])</f>
        <v>0</v>
      </c>
      <c r="K54" s="7">
        <f>SUBTOTAL(9,Health103950[October])</f>
        <v>0</v>
      </c>
      <c r="L54" s="7">
        <f>SUBTOTAL(9,Health103950[November])</f>
        <v>0</v>
      </c>
      <c r="M54" s="7">
        <f>SUBTOTAL(9,Health103950[December])</f>
        <v>0</v>
      </c>
      <c r="N54" s="43"/>
      <c r="O54" s="41">
        <f>IF(SUM(Health103950[[#Totals],[January]:[December]])&lt;&gt;0,AVERAGEIF(Health103950[[#Totals],[January]:[December]],"&lt;&gt;0"),0)</f>
        <v>0</v>
      </c>
    </row>
    <row r="55" spans="1:15" x14ac:dyDescent="0.3">
      <c r="B55" s="6"/>
      <c r="C55" s="6"/>
      <c r="D55" s="6"/>
      <c r="N55" s="43"/>
      <c r="O55" s="41"/>
    </row>
    <row r="56" spans="1:15" ht="16.5" thickBot="1" x14ac:dyDescent="0.35">
      <c r="A56" s="8" t="s">
        <v>53</v>
      </c>
      <c r="B56" s="29" t="s">
        <v>81</v>
      </c>
      <c r="C56" s="29" t="s">
        <v>82</v>
      </c>
      <c r="D56" s="29" t="s">
        <v>83</v>
      </c>
      <c r="E56" s="29" t="s">
        <v>84</v>
      </c>
      <c r="F56" s="29" t="s">
        <v>85</v>
      </c>
      <c r="G56" s="29" t="s">
        <v>71</v>
      </c>
      <c r="H56" s="30" t="s">
        <v>72</v>
      </c>
      <c r="I56" s="30" t="s">
        <v>73</v>
      </c>
      <c r="J56" s="30" t="s">
        <v>74</v>
      </c>
      <c r="K56" s="30" t="s">
        <v>75</v>
      </c>
      <c r="L56" s="30" t="s">
        <v>76</v>
      </c>
      <c r="M56" s="30" t="s">
        <v>77</v>
      </c>
      <c r="N56" s="43"/>
      <c r="O56" s="42" t="s">
        <v>94</v>
      </c>
    </row>
    <row r="57" spans="1:15" x14ac:dyDescent="0.3">
      <c r="A57" s="1" t="s">
        <v>8</v>
      </c>
      <c r="B57" s="26"/>
      <c r="C57" s="24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43"/>
      <c r="O57" s="41">
        <f>IF(SUM(Gifts124051[[#This Row],[January]:[December]])&lt;&gt;0,AVERAGEIF(Gifts124051[[#This Row],[January]:[December]],"&lt;&gt;0"),0)</f>
        <v>0</v>
      </c>
    </row>
    <row r="58" spans="1:15" x14ac:dyDescent="0.3">
      <c r="A58" s="1" t="s">
        <v>30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43"/>
      <c r="O58" s="41">
        <f>IF(SUM(Gifts124051[[#This Row],[January]:[December]])&lt;&gt;0,AVERAGEIF(Gifts124051[[#This Row],[January]:[December]],"&lt;&gt;0"),0)</f>
        <v>0</v>
      </c>
    </row>
    <row r="59" spans="1:15" x14ac:dyDescent="0.3">
      <c r="A59" s="1" t="s">
        <v>14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43"/>
      <c r="O59" s="41">
        <f>IF(SUM(Gifts124051[[#This Row],[January]:[December]])&lt;&gt;0,AVERAGEIF(Gifts124051[[#This Row],[January]:[December]],"&lt;&gt;0"),0)</f>
        <v>0</v>
      </c>
    </row>
    <row r="60" spans="1:15" x14ac:dyDescent="0.3">
      <c r="A60" s="9" t="str">
        <f>"Total " &amp; Gifts124051[[#Headers],[CHARITY/GIFTS]]</f>
        <v>Total CHARITY/GIFTS</v>
      </c>
      <c r="B60" s="7">
        <f>SUBTOTAL(9,Gifts124051[January])</f>
        <v>0</v>
      </c>
      <c r="C60" s="7">
        <f>SUBTOTAL(9,Gifts124051[February])</f>
        <v>0</v>
      </c>
      <c r="D60" s="7">
        <f>SUBTOTAL(9,Gifts124051[March])</f>
        <v>0</v>
      </c>
      <c r="E60" s="7">
        <f>SUBTOTAL(9,Gifts124051[April])</f>
        <v>0</v>
      </c>
      <c r="F60" s="7">
        <f>SUBTOTAL(9,Gifts124051[May])</f>
        <v>0</v>
      </c>
      <c r="G60" s="7">
        <f>SUBTOTAL(9,Gifts124051[June])</f>
        <v>0</v>
      </c>
      <c r="H60" s="7">
        <f>SUBTOTAL(9,Gifts124051[July])</f>
        <v>0</v>
      </c>
      <c r="I60" s="7">
        <f>SUBTOTAL(9,Gifts124051[August])</f>
        <v>0</v>
      </c>
      <c r="J60" s="7">
        <f>SUBTOTAL(9,Gifts124051[September])</f>
        <v>0</v>
      </c>
      <c r="K60" s="7">
        <f>SUBTOTAL(9,Gifts124051[October])</f>
        <v>0</v>
      </c>
      <c r="L60" s="7">
        <f>SUBTOTAL(9,Gifts124051[November])</f>
        <v>0</v>
      </c>
      <c r="M60" s="7">
        <f>SUBTOTAL(9,Gifts124051[December])</f>
        <v>0</v>
      </c>
      <c r="N60" s="43"/>
      <c r="O60" s="41">
        <f>IF(SUM(Gifts124051[[#Totals],[January]:[December]])&lt;&gt;0,AVERAGEIF(Gifts124051[[#Totals],[January]:[December]],"&lt;&gt;0"),0)</f>
        <v>0</v>
      </c>
    </row>
    <row r="61" spans="1:15" x14ac:dyDescent="0.3">
      <c r="B61" s="6"/>
      <c r="C61" s="6"/>
      <c r="D61" s="6"/>
      <c r="N61" s="43"/>
      <c r="O61" s="41"/>
    </row>
    <row r="62" spans="1:15" ht="16.5" thickBot="1" x14ac:dyDescent="0.35">
      <c r="A62" s="8" t="s">
        <v>28</v>
      </c>
      <c r="B62" s="29" t="s">
        <v>81</v>
      </c>
      <c r="C62" s="29" t="s">
        <v>82</v>
      </c>
      <c r="D62" s="29" t="s">
        <v>83</v>
      </c>
      <c r="E62" s="29" t="s">
        <v>84</v>
      </c>
      <c r="F62" s="29" t="s">
        <v>85</v>
      </c>
      <c r="G62" s="29" t="s">
        <v>71</v>
      </c>
      <c r="H62" s="30" t="s">
        <v>72</v>
      </c>
      <c r="I62" s="30" t="s">
        <v>73</v>
      </c>
      <c r="J62" s="30" t="s">
        <v>74</v>
      </c>
      <c r="K62" s="30" t="s">
        <v>75</v>
      </c>
      <c r="L62" s="30" t="s">
        <v>76</v>
      </c>
      <c r="M62" s="30" t="s">
        <v>77</v>
      </c>
      <c r="N62" s="43"/>
      <c r="O62" s="42" t="s">
        <v>94</v>
      </c>
    </row>
    <row r="63" spans="1:15" x14ac:dyDescent="0.3">
      <c r="A63" s="1" t="s">
        <v>7</v>
      </c>
      <c r="B63" s="24"/>
      <c r="C63" s="24"/>
      <c r="D63" s="24"/>
      <c r="E63" s="24"/>
      <c r="F63" s="24"/>
      <c r="G63" s="25"/>
      <c r="H63" s="25"/>
      <c r="I63" s="25"/>
      <c r="J63" s="25"/>
      <c r="K63" s="25"/>
      <c r="L63" s="25"/>
      <c r="M63" s="25"/>
      <c r="N63" s="43"/>
      <c r="O63" s="41">
        <f>IF(SUM(DailyLiving134152[[#This Row],[January]:[December]])&lt;&gt;0,AVERAGEIF(DailyLiving134152[[#This Row],[January]:[December]],"&lt;&gt;0"),0)</f>
        <v>0</v>
      </c>
    </row>
    <row r="64" spans="1:15" x14ac:dyDescent="0.3">
      <c r="A64" s="1" t="s">
        <v>29</v>
      </c>
      <c r="B64" s="24"/>
      <c r="C64" s="24"/>
      <c r="D64" s="24"/>
      <c r="E64" s="24"/>
      <c r="F64" s="24"/>
      <c r="G64" s="26"/>
      <c r="H64" s="26"/>
      <c r="I64" s="26"/>
      <c r="J64" s="26"/>
      <c r="K64" s="26"/>
      <c r="L64" s="26"/>
      <c r="M64" s="26"/>
      <c r="N64" s="43"/>
      <c r="O64" s="41">
        <f>IF(SUM(DailyLiving134152[[#This Row],[January]:[December]])&lt;&gt;0,AVERAGEIF(DailyLiving134152[[#This Row],[January]:[December]],"&lt;&gt;0"),0)</f>
        <v>0</v>
      </c>
    </row>
    <row r="65" spans="1:17" x14ac:dyDescent="0.3">
      <c r="A65" s="1" t="s">
        <v>6</v>
      </c>
      <c r="B65" s="24"/>
      <c r="C65" s="24"/>
      <c r="D65" s="24"/>
      <c r="E65" s="24"/>
      <c r="F65" s="24"/>
      <c r="G65" s="39"/>
      <c r="H65" s="39"/>
      <c r="I65" s="26"/>
      <c r="J65" s="26"/>
      <c r="K65" s="26"/>
      <c r="L65" s="26"/>
      <c r="M65" s="26"/>
      <c r="N65" s="43"/>
      <c r="O65" s="41">
        <f>IF(SUM(DailyLiving134152[[#This Row],[January]:[December]])&lt;&gt;0,AVERAGEIF(DailyLiving134152[[#This Row],[January]:[December]],"&lt;&gt;0"),0)</f>
        <v>0</v>
      </c>
    </row>
    <row r="66" spans="1:17" x14ac:dyDescent="0.3">
      <c r="A66" s="1" t="s">
        <v>64</v>
      </c>
      <c r="B66" s="24"/>
      <c r="C66" s="24"/>
      <c r="D66" s="24"/>
      <c r="E66" s="24"/>
      <c r="F66" s="24"/>
      <c r="G66" s="39"/>
      <c r="H66" s="39"/>
      <c r="I66" s="26"/>
      <c r="J66" s="26"/>
      <c r="K66" s="26"/>
      <c r="L66" s="26"/>
      <c r="M66" s="26"/>
      <c r="N66" s="43"/>
      <c r="O66" s="41">
        <f>IF(SUM(DailyLiving134152[[#This Row],[January]:[December]])&lt;&gt;0,AVERAGEIF(DailyLiving134152[[#This Row],[January]:[December]],"&lt;&gt;0"),0)</f>
        <v>0</v>
      </c>
    </row>
    <row r="67" spans="1:17" x14ac:dyDescent="0.3">
      <c r="A67" s="1" t="s">
        <v>65</v>
      </c>
      <c r="B67" s="24"/>
      <c r="C67" s="24"/>
      <c r="D67" s="24"/>
      <c r="E67" s="24"/>
      <c r="F67" s="24"/>
      <c r="G67" s="24"/>
      <c r="H67" s="24"/>
      <c r="I67" s="26"/>
      <c r="J67" s="26"/>
      <c r="K67" s="26"/>
      <c r="L67" s="26"/>
      <c r="M67" s="26"/>
      <c r="N67" s="43"/>
      <c r="O67" s="41">
        <f>IF(SUM(DailyLiving134152[[#This Row],[January]:[December]])&lt;&gt;0,AVERAGEIF(DailyLiving134152[[#This Row],[January]:[December]],"&lt;&gt;0"),0)</f>
        <v>0</v>
      </c>
    </row>
    <row r="68" spans="1:17" x14ac:dyDescent="0.3">
      <c r="A68" s="27" t="s">
        <v>93</v>
      </c>
      <c r="B68" s="24"/>
      <c r="C68" s="24"/>
      <c r="D68" s="24"/>
      <c r="E68" s="24"/>
      <c r="F68" s="24"/>
      <c r="G68" s="24"/>
      <c r="H68" s="24"/>
      <c r="I68" s="26"/>
      <c r="J68" s="26"/>
      <c r="K68" s="26"/>
      <c r="L68" s="26"/>
      <c r="M68" s="26"/>
      <c r="N68" s="43"/>
      <c r="O68" s="41">
        <f>IF(SUM(DailyLiving134152[[#This Row],[January]:[December]])&lt;&gt;0,AVERAGEIF(DailyLiving134152[[#This Row],[January]:[December]],"&lt;&gt;0"),0)</f>
        <v>0</v>
      </c>
    </row>
    <row r="69" spans="1:17" x14ac:dyDescent="0.3">
      <c r="A69" s="1" t="s">
        <v>47</v>
      </c>
      <c r="B69" s="24"/>
      <c r="C69" s="24"/>
      <c r="D69" s="24"/>
      <c r="E69" s="24"/>
      <c r="F69" s="24"/>
      <c r="G69" s="26"/>
      <c r="H69" s="26"/>
      <c r="I69" s="26"/>
      <c r="J69" s="26"/>
      <c r="K69" s="26"/>
      <c r="L69" s="26"/>
      <c r="M69" s="26"/>
      <c r="N69" s="43"/>
      <c r="O69" s="41">
        <f>IF(SUM(DailyLiving134152[[#This Row],[January]:[December]])&lt;&gt;0,AVERAGEIF(DailyLiving134152[[#This Row],[January]:[December]],"&lt;&gt;0"),0)</f>
        <v>0</v>
      </c>
    </row>
    <row r="70" spans="1:17" x14ac:dyDescent="0.3">
      <c r="A70" s="1" t="s">
        <v>48</v>
      </c>
      <c r="B70" s="24"/>
      <c r="C70" s="24"/>
      <c r="D70" s="24"/>
      <c r="E70" s="24"/>
      <c r="F70" s="24"/>
      <c r="G70" s="26"/>
      <c r="H70" s="26"/>
      <c r="I70" s="26"/>
      <c r="J70" s="26"/>
      <c r="K70" s="26"/>
      <c r="L70" s="26"/>
      <c r="M70" s="26"/>
      <c r="N70" s="43"/>
      <c r="O70" s="41">
        <f>IF(SUM(DailyLiving134152[[#This Row],[January]:[December]])&lt;&gt;0,AVERAGEIF(DailyLiving134152[[#This Row],[January]:[December]],"&lt;&gt;0"),0)</f>
        <v>0</v>
      </c>
    </row>
    <row r="71" spans="1:17" x14ac:dyDescent="0.3">
      <c r="A71" s="1" t="s">
        <v>66</v>
      </c>
      <c r="B71" s="24"/>
      <c r="C71" s="24"/>
      <c r="D71" s="24"/>
      <c r="E71" s="24"/>
      <c r="F71" s="24"/>
      <c r="G71" s="26"/>
      <c r="H71" s="26"/>
      <c r="I71" s="26"/>
      <c r="J71" s="26"/>
      <c r="K71" s="26"/>
      <c r="L71" s="26"/>
      <c r="M71" s="26"/>
      <c r="N71" s="43"/>
      <c r="O71" s="41">
        <f>IF(SUM(DailyLiving134152[[#This Row],[January]:[December]])&lt;&gt;0,AVERAGEIF(DailyLiving134152[[#This Row],[January]:[December]],"&lt;&gt;0"),0)</f>
        <v>0</v>
      </c>
    </row>
    <row r="72" spans="1:17" x14ac:dyDescent="0.3">
      <c r="A72" s="1" t="s">
        <v>14</v>
      </c>
      <c r="B72" s="25"/>
      <c r="C72" s="25"/>
      <c r="D72" s="25"/>
      <c r="E72" s="25"/>
      <c r="F72" s="25"/>
      <c r="G72" s="26"/>
      <c r="H72" s="26"/>
      <c r="I72" s="26"/>
      <c r="J72" s="26"/>
      <c r="K72" s="26"/>
      <c r="L72" s="26"/>
      <c r="M72" s="26"/>
      <c r="N72" s="43"/>
      <c r="O72" s="41">
        <f>IF(SUM(DailyLiving134152[[#This Row],[January]:[December]])&lt;&gt;0,AVERAGEIF(DailyLiving134152[[#This Row],[January]:[December]],"&lt;&gt;0"),0)</f>
        <v>0</v>
      </c>
    </row>
    <row r="73" spans="1:17" x14ac:dyDescent="0.3">
      <c r="A73" s="9" t="str">
        <f>"Total " &amp; DailyLiving134152[[#Headers],[DAILY LIVING]]</f>
        <v>Total DAILY LIVING</v>
      </c>
      <c r="B73" s="7">
        <f>SUBTOTAL(9,DailyLiving134152[January])</f>
        <v>0</v>
      </c>
      <c r="C73" s="7">
        <f>SUBTOTAL(9,DailyLiving134152[February])</f>
        <v>0</v>
      </c>
      <c r="D73" s="7">
        <f>SUBTOTAL(9,DailyLiving134152[March])</f>
        <v>0</v>
      </c>
      <c r="E73" s="7">
        <f>SUBTOTAL(9,DailyLiving134152[April])</f>
        <v>0</v>
      </c>
      <c r="F73" s="7">
        <f>SUBTOTAL(9,DailyLiving134152[May])</f>
        <v>0</v>
      </c>
      <c r="G73" s="7">
        <f>SUBTOTAL(9,DailyLiving134152[June])</f>
        <v>0</v>
      </c>
      <c r="H73" s="7">
        <f>SUBTOTAL(9,DailyLiving134152[July])</f>
        <v>0</v>
      </c>
      <c r="I73" s="7">
        <f>SUBTOTAL(9,DailyLiving134152[August])</f>
        <v>0</v>
      </c>
      <c r="J73" s="7">
        <f>SUBTOTAL(9,DailyLiving134152[September])</f>
        <v>0</v>
      </c>
      <c r="K73" s="7">
        <f>SUBTOTAL(9,DailyLiving134152[October])</f>
        <v>0</v>
      </c>
      <c r="L73" s="7">
        <f>SUBTOTAL(9,DailyLiving134152[November])</f>
        <v>0</v>
      </c>
      <c r="M73" s="7">
        <f>SUBTOTAL(9,DailyLiving134152[December])</f>
        <v>0</v>
      </c>
      <c r="N73" s="43"/>
      <c r="O73" s="41">
        <f>IF(SUM(DailyLiving134152[[#Totals],[January]:[December]])&lt;&gt;0,AVERAGEIF(DailyLiving134152[[#Totals],[January]:[December]],"&lt;&gt;0"),0)</f>
        <v>0</v>
      </c>
    </row>
    <row r="74" spans="1:17" x14ac:dyDescent="0.3">
      <c r="B74" s="6"/>
      <c r="C74" s="6"/>
      <c r="D74" s="6"/>
      <c r="E74" s="5"/>
      <c r="F74" s="5"/>
      <c r="N74" s="43"/>
      <c r="O74" s="41"/>
    </row>
    <row r="75" spans="1:17" ht="16.5" thickBot="1" x14ac:dyDescent="0.35">
      <c r="A75" s="8" t="s">
        <v>24</v>
      </c>
      <c r="B75" s="29" t="s">
        <v>81</v>
      </c>
      <c r="C75" s="29" t="s">
        <v>82</v>
      </c>
      <c r="D75" s="29" t="s">
        <v>83</v>
      </c>
      <c r="E75" s="29" t="s">
        <v>84</v>
      </c>
      <c r="F75" s="29" t="s">
        <v>85</v>
      </c>
      <c r="G75" s="29" t="s">
        <v>71</v>
      </c>
      <c r="H75" s="30" t="s">
        <v>72</v>
      </c>
      <c r="I75" s="30" t="s">
        <v>73</v>
      </c>
      <c r="J75" s="30" t="s">
        <v>74</v>
      </c>
      <c r="K75" s="30" t="s">
        <v>75</v>
      </c>
      <c r="L75" s="30" t="s">
        <v>76</v>
      </c>
      <c r="M75" s="30" t="s">
        <v>77</v>
      </c>
      <c r="N75" s="43"/>
      <c r="O75" s="42" t="s">
        <v>94</v>
      </c>
    </row>
    <row r="76" spans="1:17" x14ac:dyDescent="0.3">
      <c r="A76" s="1" t="s">
        <v>0</v>
      </c>
      <c r="B76" s="25"/>
      <c r="C76" s="24"/>
      <c r="D76" s="24"/>
      <c r="E76" s="24"/>
      <c r="F76" s="24"/>
      <c r="G76" s="25"/>
      <c r="H76" s="25"/>
      <c r="I76" s="25"/>
      <c r="J76" s="25"/>
      <c r="K76" s="25"/>
      <c r="L76" s="25"/>
      <c r="M76" s="25"/>
      <c r="N76" s="43"/>
      <c r="O76" s="41">
        <f>IF(SUM(Entertainment144253[[#This Row],[January]:[December]])&lt;&gt;0,AVERAGEIF(Entertainment144253[[#This Row],[January]:[December]],"&lt;&gt;0"),0)</f>
        <v>0</v>
      </c>
      <c r="Q76" s="45"/>
    </row>
    <row r="77" spans="1:17" x14ac:dyDescent="0.3">
      <c r="A77" s="1" t="s">
        <v>51</v>
      </c>
      <c r="B77" s="26"/>
      <c r="C77" s="24"/>
      <c r="D77" s="24"/>
      <c r="E77" s="24"/>
      <c r="F77" s="24"/>
      <c r="G77" s="26"/>
      <c r="H77" s="26"/>
      <c r="I77" s="26"/>
      <c r="J77" s="26"/>
      <c r="K77" s="26"/>
      <c r="L77" s="26"/>
      <c r="M77" s="26"/>
      <c r="N77" s="43"/>
      <c r="O77" s="41">
        <f>IF(SUM(Entertainment144253[[#This Row],[January]:[December]])&lt;&gt;0,AVERAGEIF(Entertainment144253[[#This Row],[January]:[December]],"&lt;&gt;0"),0)</f>
        <v>0</v>
      </c>
    </row>
    <row r="78" spans="1:17" x14ac:dyDescent="0.3">
      <c r="A78" s="1" t="s">
        <v>49</v>
      </c>
      <c r="B78" s="26"/>
      <c r="C78" s="24"/>
      <c r="D78" s="24"/>
      <c r="E78" s="24"/>
      <c r="F78" s="24"/>
      <c r="G78" s="26"/>
      <c r="H78" s="26"/>
      <c r="I78" s="26"/>
      <c r="J78" s="26"/>
      <c r="K78" s="26"/>
      <c r="L78" s="26"/>
      <c r="M78" s="26"/>
      <c r="N78" s="43"/>
      <c r="O78" s="41">
        <f>IF(SUM(Entertainment144253[[#This Row],[January]:[December]])&lt;&gt;0,AVERAGEIF(Entertainment144253[[#This Row],[January]:[December]],"&lt;&gt;0"),0)</f>
        <v>0</v>
      </c>
    </row>
    <row r="79" spans="1:17" x14ac:dyDescent="0.3">
      <c r="A79" s="1" t="s">
        <v>50</v>
      </c>
      <c r="B79" s="26"/>
      <c r="C79" s="24"/>
      <c r="D79" s="24"/>
      <c r="E79" s="24"/>
      <c r="F79" s="24"/>
      <c r="G79" s="26"/>
      <c r="H79" s="26"/>
      <c r="I79" s="26"/>
      <c r="J79" s="26"/>
      <c r="K79" s="26"/>
      <c r="L79" s="26"/>
      <c r="M79" s="26"/>
      <c r="N79" s="43"/>
      <c r="O79" s="41">
        <f>IF(SUM(Entertainment144253[[#This Row],[January]:[December]])&lt;&gt;0,AVERAGEIF(Entertainment144253[[#This Row],[January]:[December]],"&lt;&gt;0"),0)</f>
        <v>0</v>
      </c>
    </row>
    <row r="80" spans="1:17" x14ac:dyDescent="0.3">
      <c r="A80" s="1" t="s">
        <v>25</v>
      </c>
      <c r="B80" s="26"/>
      <c r="C80" s="24"/>
      <c r="D80" s="24"/>
      <c r="E80" s="24"/>
      <c r="F80" s="24"/>
      <c r="G80" s="26"/>
      <c r="H80" s="26"/>
      <c r="I80" s="26"/>
      <c r="J80" s="26"/>
      <c r="K80" s="26"/>
      <c r="L80" s="26"/>
      <c r="M80" s="26"/>
      <c r="N80" s="43"/>
      <c r="O80" s="41">
        <f>IF(SUM(Entertainment144253[[#This Row],[January]:[December]])&lt;&gt;0,AVERAGEIF(Entertainment144253[[#This Row],[January]:[December]],"&lt;&gt;0"),0)</f>
        <v>0</v>
      </c>
    </row>
    <row r="81" spans="1:15" x14ac:dyDescent="0.3">
      <c r="A81" s="27" t="s">
        <v>80</v>
      </c>
      <c r="B81" s="26"/>
      <c r="C81" s="24"/>
      <c r="D81" s="24"/>
      <c r="E81" s="24"/>
      <c r="F81" s="24"/>
      <c r="G81" s="26"/>
      <c r="H81" s="26"/>
      <c r="I81" s="26"/>
      <c r="J81" s="26"/>
      <c r="K81" s="26"/>
      <c r="L81" s="26"/>
      <c r="M81" s="26"/>
      <c r="N81" s="43"/>
      <c r="O81" s="41">
        <f>IF(SUM(Entertainment144253[[#This Row],[January]:[December]])&lt;&gt;0,AVERAGEIF(Entertainment144253[[#This Row],[January]:[December]],"&lt;&gt;0"),0)</f>
        <v>0</v>
      </c>
    </row>
    <row r="82" spans="1:15" x14ac:dyDescent="0.3">
      <c r="A82" s="27" t="s">
        <v>86</v>
      </c>
      <c r="B82" s="26"/>
      <c r="C82" s="24"/>
      <c r="D82" s="24"/>
      <c r="E82" s="24"/>
      <c r="F82" s="24"/>
      <c r="G82" s="39"/>
      <c r="H82" s="39"/>
      <c r="I82" s="39"/>
      <c r="J82" s="39"/>
      <c r="K82" s="39"/>
      <c r="L82" s="39"/>
      <c r="M82" s="39"/>
      <c r="N82" s="43"/>
      <c r="O82" s="41">
        <f>IF(SUM(Entertainment144253[[#This Row],[January]:[December]])&lt;&gt;0,AVERAGEIF(Entertainment144253[[#This Row],[January]:[December]],"&lt;&gt;0"),0)</f>
        <v>0</v>
      </c>
    </row>
    <row r="83" spans="1:15" x14ac:dyDescent="0.3">
      <c r="A83" s="27" t="s">
        <v>91</v>
      </c>
      <c r="B83" s="26"/>
      <c r="C83" s="24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43"/>
      <c r="O83" s="41">
        <f>IF(SUM(Entertainment144253[[#This Row],[January]:[December]])&lt;&gt;0,AVERAGEIF(Entertainment144253[[#This Row],[January]:[December]],"&lt;&gt;0"),0)</f>
        <v>0</v>
      </c>
    </row>
    <row r="84" spans="1:15" x14ac:dyDescent="0.3">
      <c r="A84" s="1" t="s">
        <v>27</v>
      </c>
      <c r="B84" s="26"/>
      <c r="C84" s="24"/>
      <c r="D84" s="24"/>
      <c r="E84" s="24"/>
      <c r="F84" s="24"/>
      <c r="G84" s="26"/>
      <c r="H84" s="26"/>
      <c r="I84" s="26"/>
      <c r="J84" s="26"/>
      <c r="K84" s="26"/>
      <c r="L84" s="26"/>
      <c r="M84" s="26"/>
      <c r="N84" s="43"/>
      <c r="O84" s="41">
        <f>IF(SUM(Entertainment144253[[#This Row],[January]:[December]])&lt;&gt;0,AVERAGEIF(Entertainment144253[[#This Row],[January]:[December]],"&lt;&gt;0"),0)</f>
        <v>0</v>
      </c>
    </row>
    <row r="85" spans="1:15" x14ac:dyDescent="0.3">
      <c r="A85" s="1" t="s">
        <v>26</v>
      </c>
      <c r="B85" s="26"/>
      <c r="C85" s="24"/>
      <c r="D85" s="24"/>
      <c r="E85" s="24"/>
      <c r="F85" s="24"/>
      <c r="G85" s="26"/>
      <c r="H85" s="26"/>
      <c r="I85" s="26"/>
      <c r="J85" s="26"/>
      <c r="K85" s="26"/>
      <c r="L85" s="26"/>
      <c r="M85" s="26"/>
      <c r="N85" s="43"/>
      <c r="O85" s="41">
        <f>IF(SUM(Entertainment144253[[#This Row],[January]:[December]])&lt;&gt;0,AVERAGEIF(Entertainment144253[[#This Row],[January]:[December]],"&lt;&gt;0"),0)</f>
        <v>0</v>
      </c>
    </row>
    <row r="86" spans="1:15" x14ac:dyDescent="0.3">
      <c r="A86" s="1" t="s">
        <v>52</v>
      </c>
      <c r="B86" s="26"/>
      <c r="C86" s="24"/>
      <c r="D86" s="24"/>
      <c r="E86" s="24"/>
      <c r="F86" s="24"/>
      <c r="G86" s="26"/>
      <c r="H86" s="26"/>
      <c r="I86" s="26"/>
      <c r="J86" s="26"/>
      <c r="K86" s="26"/>
      <c r="L86" s="26"/>
      <c r="M86" s="26"/>
      <c r="N86" s="43"/>
      <c r="O86" s="41">
        <f>IF(SUM(Entertainment144253[[#This Row],[January]:[December]])&lt;&gt;0,AVERAGEIF(Entertainment144253[[#This Row],[January]:[December]],"&lt;&gt;0"),0)</f>
        <v>0</v>
      </c>
    </row>
    <row r="87" spans="1:15" x14ac:dyDescent="0.3">
      <c r="A87" s="1" t="s">
        <v>67</v>
      </c>
      <c r="B87" s="26"/>
      <c r="C87" s="24"/>
      <c r="D87" s="24"/>
      <c r="E87" s="24"/>
      <c r="F87" s="24"/>
      <c r="G87" s="26"/>
      <c r="H87" s="26"/>
      <c r="I87" s="26"/>
      <c r="J87" s="26"/>
      <c r="K87" s="26"/>
      <c r="L87" s="26"/>
      <c r="M87" s="26"/>
      <c r="N87" s="43"/>
      <c r="O87" s="41">
        <f>IF(SUM(Entertainment144253[[#This Row],[January]:[December]])&lt;&gt;0,AVERAGEIF(Entertainment144253[[#This Row],[January]:[December]],"&lt;&gt;0"),0)</f>
        <v>0</v>
      </c>
    </row>
    <row r="88" spans="1:15" x14ac:dyDescent="0.3">
      <c r="A88" s="1" t="s">
        <v>14</v>
      </c>
      <c r="B88" s="26"/>
      <c r="C88" s="25"/>
      <c r="D88" s="25"/>
      <c r="E88" s="25"/>
      <c r="F88" s="25"/>
      <c r="G88" s="26"/>
      <c r="H88" s="26"/>
      <c r="I88" s="26"/>
      <c r="J88" s="26"/>
      <c r="K88" s="26"/>
      <c r="L88" s="26"/>
      <c r="M88" s="26"/>
      <c r="N88" s="43"/>
      <c r="O88" s="41">
        <f>IF(SUM(Entertainment144253[[#This Row],[January]:[December]])&lt;&gt;0,AVERAGEIF(Entertainment144253[[#This Row],[January]:[December]],"&lt;&gt;0"),0)</f>
        <v>0</v>
      </c>
    </row>
    <row r="89" spans="1:15" x14ac:dyDescent="0.3">
      <c r="A89" s="9" t="s">
        <v>79</v>
      </c>
      <c r="B89" s="7">
        <f>SUBTOTAL(9,Entertainment144253[January])</f>
        <v>0</v>
      </c>
      <c r="C89" s="7">
        <f>SUBTOTAL(9,Entertainment144253[February])</f>
        <v>0</v>
      </c>
      <c r="D89" s="7">
        <f>SUBTOTAL(9,Entertainment144253[March])</f>
        <v>0</v>
      </c>
      <c r="E89" s="7">
        <f>SUBTOTAL(9,Entertainment144253[April])</f>
        <v>0</v>
      </c>
      <c r="F89" s="7">
        <f>SUBTOTAL(9,Entertainment144253[May])</f>
        <v>0</v>
      </c>
      <c r="G89" s="7">
        <f>SUBTOTAL(9,Entertainment144253[June])</f>
        <v>0</v>
      </c>
      <c r="H89" s="7">
        <f>SUBTOTAL(9,Entertainment144253[July])</f>
        <v>0</v>
      </c>
      <c r="I89" s="7">
        <f>SUBTOTAL(9,Entertainment144253[August])</f>
        <v>0</v>
      </c>
      <c r="J89" s="7">
        <f>SUBTOTAL(9,Entertainment144253[September])</f>
        <v>0</v>
      </c>
      <c r="K89" s="7">
        <f>SUBTOTAL(9,Entertainment144253[October])</f>
        <v>0</v>
      </c>
      <c r="L89" s="7">
        <f>SUBTOTAL(9,Entertainment144253[November])</f>
        <v>0</v>
      </c>
      <c r="M89" s="7">
        <f>SUBTOTAL(9,Entertainment144253[December])</f>
        <v>0</v>
      </c>
      <c r="N89" s="43"/>
      <c r="O89" s="41">
        <f>IF(SUM(Entertainment144253[[#Totals],[January]:[December]])&lt;&gt;0,AVERAGEIF(Entertainment144253[[#Totals],[January]:[December]],"&lt;&gt;0"),0)</f>
        <v>0</v>
      </c>
    </row>
    <row r="90" spans="1:15" x14ac:dyDescent="0.3">
      <c r="B90" s="6"/>
      <c r="C90" s="6"/>
      <c r="D90" s="6"/>
      <c r="E90" s="5"/>
      <c r="N90" s="43"/>
      <c r="O90" s="41"/>
    </row>
    <row r="91" spans="1:15" ht="16.5" thickBot="1" x14ac:dyDescent="0.35">
      <c r="A91" s="8" t="s">
        <v>33</v>
      </c>
      <c r="B91" s="29" t="s">
        <v>81</v>
      </c>
      <c r="C91" s="29" t="s">
        <v>82</v>
      </c>
      <c r="D91" s="29" t="s">
        <v>83</v>
      </c>
      <c r="E91" s="29" t="s">
        <v>84</v>
      </c>
      <c r="F91" s="29" t="s">
        <v>85</v>
      </c>
      <c r="G91" s="29" t="s">
        <v>71</v>
      </c>
      <c r="H91" s="30" t="s">
        <v>72</v>
      </c>
      <c r="I91" s="30" t="s">
        <v>73</v>
      </c>
      <c r="J91" s="30" t="s">
        <v>74</v>
      </c>
      <c r="K91" s="30" t="s">
        <v>75</v>
      </c>
      <c r="L91" s="30" t="s">
        <v>76</v>
      </c>
      <c r="M91" s="30" t="s">
        <v>77</v>
      </c>
      <c r="N91" s="43"/>
      <c r="O91" s="42" t="s">
        <v>94</v>
      </c>
    </row>
    <row r="92" spans="1:15" x14ac:dyDescent="0.3">
      <c r="A92" s="1" t="s">
        <v>34</v>
      </c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43"/>
      <c r="O92" s="41">
        <f>IF(SUM(Savings214354[[#This Row],[January]:[December]])&lt;&gt;0,AVERAGEIF(Savings214354[[#This Row],[January]:[December]],"&lt;&gt;0"),0)</f>
        <v>0</v>
      </c>
    </row>
    <row r="93" spans="1:15" x14ac:dyDescent="0.3">
      <c r="A93" s="1" t="s">
        <v>32</v>
      </c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43"/>
      <c r="O93" s="41">
        <f>IF(SUM(Savings214354[[#This Row],[January]:[December]])&lt;&gt;0,AVERAGEIF(Savings214354[[#This Row],[January]:[December]],"&lt;&gt;0"),0)</f>
        <v>0</v>
      </c>
    </row>
    <row r="94" spans="1:15" x14ac:dyDescent="0.3">
      <c r="A94" s="1" t="s">
        <v>68</v>
      </c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43"/>
      <c r="O94" s="41">
        <f>IF(SUM(Savings214354[[#This Row],[January]:[December]])&lt;&gt;0,AVERAGEIF(Savings214354[[#This Row],[January]:[December]],"&lt;&gt;0"),0)</f>
        <v>0</v>
      </c>
    </row>
    <row r="95" spans="1:15" x14ac:dyDescent="0.3">
      <c r="A95" s="1" t="s">
        <v>14</v>
      </c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43"/>
      <c r="O95" s="41">
        <f>IF(SUM(Savings214354[[#This Row],[January]:[December]])&lt;&gt;0,AVERAGEIF(Savings214354[[#This Row],[January]:[December]],"&lt;&gt;0"),0)</f>
        <v>0</v>
      </c>
    </row>
    <row r="96" spans="1:15" x14ac:dyDescent="0.3">
      <c r="A96" s="9" t="str">
        <f>"Total " &amp; Savings214354[[#Headers],[SAVINGS]]</f>
        <v>Total SAVINGS</v>
      </c>
      <c r="B96" s="7">
        <f>SUBTOTAL(9,Savings214354[January])</f>
        <v>0</v>
      </c>
      <c r="C96" s="7">
        <f>SUBTOTAL(9,Savings214354[February])</f>
        <v>0</v>
      </c>
      <c r="D96" s="7">
        <f>SUBTOTAL(9,Savings214354[March])</f>
        <v>0</v>
      </c>
      <c r="E96" s="7">
        <f>SUBTOTAL(9,Savings214354[April])</f>
        <v>0</v>
      </c>
      <c r="F96" s="7">
        <f>SUBTOTAL(9,Savings214354[May])</f>
        <v>0</v>
      </c>
      <c r="G96" s="7">
        <f>SUBTOTAL(9,Savings214354[June])</f>
        <v>0</v>
      </c>
      <c r="H96" s="7">
        <f>SUBTOTAL(9,Savings214354[July])</f>
        <v>0</v>
      </c>
      <c r="I96" s="7">
        <f>SUBTOTAL(9,Savings214354[August])</f>
        <v>0</v>
      </c>
      <c r="J96" s="7">
        <f>SUBTOTAL(9,Savings214354[September])</f>
        <v>0</v>
      </c>
      <c r="K96" s="7">
        <f>SUBTOTAL(9,Savings214354[October])</f>
        <v>0</v>
      </c>
      <c r="L96" s="7">
        <f>SUBTOTAL(9,Savings214354[November])</f>
        <v>0</v>
      </c>
      <c r="M96" s="7">
        <f>SUBTOTAL(9,Savings214354[December])</f>
        <v>0</v>
      </c>
      <c r="N96" s="43"/>
      <c r="O96" s="41">
        <f>IF(SUM(Savings214354[[#Totals],[January]:[December]])&lt;&gt;0,AVERAGEIF(Savings214354[[#Totals],[January]:[December]],"&lt;&gt;0"),0)</f>
        <v>0</v>
      </c>
    </row>
    <row r="97" spans="1:15" x14ac:dyDescent="0.3">
      <c r="B97" s="6"/>
      <c r="C97" s="6"/>
      <c r="D97" s="6"/>
      <c r="N97" s="43"/>
      <c r="O97" s="41"/>
    </row>
    <row r="98" spans="1:15" ht="16.5" thickBot="1" x14ac:dyDescent="0.35">
      <c r="A98" s="8" t="s">
        <v>35</v>
      </c>
      <c r="B98" s="29" t="s">
        <v>81</v>
      </c>
      <c r="C98" s="29" t="s">
        <v>82</v>
      </c>
      <c r="D98" s="29" t="s">
        <v>83</v>
      </c>
      <c r="E98" s="29" t="s">
        <v>84</v>
      </c>
      <c r="F98" s="29" t="s">
        <v>85</v>
      </c>
      <c r="G98" s="29" t="s">
        <v>71</v>
      </c>
      <c r="H98" s="30" t="s">
        <v>72</v>
      </c>
      <c r="I98" s="30" t="s">
        <v>73</v>
      </c>
      <c r="J98" s="30" t="s">
        <v>74</v>
      </c>
      <c r="K98" s="30" t="s">
        <v>75</v>
      </c>
      <c r="L98" s="30" t="s">
        <v>76</v>
      </c>
      <c r="M98" s="30" t="s">
        <v>77</v>
      </c>
      <c r="N98" s="43"/>
      <c r="O98" s="42" t="s">
        <v>94</v>
      </c>
    </row>
    <row r="99" spans="1:15" x14ac:dyDescent="0.3">
      <c r="A99" s="1" t="s">
        <v>36</v>
      </c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43"/>
      <c r="O99" s="41">
        <f>IF(SUM(Obligations224455[[#This Row],[January]:[December]])&lt;&gt;0,AVERAGEIF(Obligations224455[[#This Row],[January]:[December]],"&lt;&gt;0"),0)</f>
        <v>0</v>
      </c>
    </row>
    <row r="100" spans="1:15" x14ac:dyDescent="0.3">
      <c r="A100" s="1" t="s">
        <v>37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43"/>
      <c r="O100" s="41">
        <f>IF(SUM(Obligations224455[[#This Row],[January]:[December]])&lt;&gt;0,AVERAGEIF(Obligations224455[[#This Row],[January]:[December]],"&lt;&gt;0"),0)</f>
        <v>0</v>
      </c>
    </row>
    <row r="101" spans="1:15" x14ac:dyDescent="0.3">
      <c r="A101" s="1" t="s">
        <v>69</v>
      </c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43"/>
      <c r="O101" s="41">
        <f>IF(SUM(Obligations224455[[#This Row],[January]:[December]])&lt;&gt;0,AVERAGEIF(Obligations224455[[#This Row],[January]:[December]],"&lt;&gt;0"),0)</f>
        <v>0</v>
      </c>
    </row>
    <row r="102" spans="1:15" x14ac:dyDescent="0.3">
      <c r="A102" s="1" t="s">
        <v>38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43"/>
      <c r="O102" s="41">
        <f>IF(SUM(Obligations224455[[#This Row],[January]:[December]])&lt;&gt;0,AVERAGEIF(Obligations224455[[#This Row],[January]:[December]],"&lt;&gt;0"),0)</f>
        <v>0</v>
      </c>
    </row>
    <row r="103" spans="1:15" x14ac:dyDescent="0.3">
      <c r="A103" s="1" t="s">
        <v>39</v>
      </c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43"/>
      <c r="O103" s="41">
        <f>IF(SUM(Obligations224455[[#This Row],[January]:[December]])&lt;&gt;0,AVERAGEIF(Obligations224455[[#This Row],[January]:[December]],"&lt;&gt;0"),0)</f>
        <v>0</v>
      </c>
    </row>
    <row r="104" spans="1:15" x14ac:dyDescent="0.3">
      <c r="A104" s="1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43"/>
      <c r="O104" s="41">
        <f>IF(SUM(Obligations224455[[#This Row],[January]:[December]])&lt;&gt;0,AVERAGEIF(Obligations224455[[#This Row],[January]:[December]],"&lt;&gt;0"),0)</f>
        <v>0</v>
      </c>
    </row>
    <row r="105" spans="1:15" x14ac:dyDescent="0.3">
      <c r="A105" s="9" t="str">
        <f>"Total " &amp; Obligations224455[[#Headers],[OBLIGATIONS]]</f>
        <v>Total OBLIGATIONS</v>
      </c>
      <c r="B105" s="7">
        <f>SUBTOTAL(9,Obligations224455[January])</f>
        <v>0</v>
      </c>
      <c r="C105" s="7">
        <f>SUBTOTAL(9,Obligations224455[February])</f>
        <v>0</v>
      </c>
      <c r="D105" s="7">
        <f>SUBTOTAL(9,Obligations224455[March])</f>
        <v>0</v>
      </c>
      <c r="E105" s="7">
        <f>SUBTOTAL(9,Obligations224455[April])</f>
        <v>0</v>
      </c>
      <c r="F105" s="7">
        <f>SUBTOTAL(9,Obligations224455[May])</f>
        <v>0</v>
      </c>
      <c r="G105" s="7">
        <f>SUBTOTAL(9,Obligations224455[June])</f>
        <v>0</v>
      </c>
      <c r="H105" s="7">
        <f>SUBTOTAL(9,Obligations224455[July])</f>
        <v>0</v>
      </c>
      <c r="I105" s="7">
        <f>SUBTOTAL(9,Obligations224455[August])</f>
        <v>0</v>
      </c>
      <c r="J105" s="7">
        <f>SUBTOTAL(9,Obligations224455[September])</f>
        <v>0</v>
      </c>
      <c r="K105" s="7">
        <f>SUBTOTAL(9,Obligations224455[October])</f>
        <v>0</v>
      </c>
      <c r="L105" s="7">
        <f>SUBTOTAL(9,Obligations224455[November])</f>
        <v>0</v>
      </c>
      <c r="M105" s="7">
        <f>SUBTOTAL(9,Obligations224455[December])</f>
        <v>0</v>
      </c>
      <c r="N105" s="43"/>
      <c r="O105" s="41">
        <f>IF(SUM(Obligations224455[[#Totals],[January]:[December]])&lt;&gt;0,AVERAGEIF(Obligations224455[[#Totals],[January]:[December]],"&lt;&gt;0"),0)</f>
        <v>0</v>
      </c>
    </row>
    <row r="106" spans="1:15" x14ac:dyDescent="0.3">
      <c r="B106" s="6"/>
      <c r="C106" s="6"/>
      <c r="D106" s="6"/>
      <c r="N106" s="43"/>
      <c r="O106" s="41"/>
    </row>
    <row r="107" spans="1:15" ht="16.5" thickBot="1" x14ac:dyDescent="0.35">
      <c r="A107" s="8" t="s">
        <v>10</v>
      </c>
      <c r="B107" s="29" t="s">
        <v>81</v>
      </c>
      <c r="C107" s="29" t="s">
        <v>82</v>
      </c>
      <c r="D107" s="29" t="s">
        <v>83</v>
      </c>
      <c r="E107" s="29" t="s">
        <v>84</v>
      </c>
      <c r="F107" s="29" t="s">
        <v>85</v>
      </c>
      <c r="G107" s="29" t="s">
        <v>71</v>
      </c>
      <c r="H107" s="30" t="s">
        <v>72</v>
      </c>
      <c r="I107" s="30" t="s">
        <v>73</v>
      </c>
      <c r="J107" s="30" t="s">
        <v>74</v>
      </c>
      <c r="K107" s="30" t="s">
        <v>75</v>
      </c>
      <c r="L107" s="30" t="s">
        <v>76</v>
      </c>
      <c r="M107" s="30" t="s">
        <v>77</v>
      </c>
      <c r="N107" s="43"/>
      <c r="O107" s="42" t="s">
        <v>94</v>
      </c>
    </row>
    <row r="108" spans="1:15" x14ac:dyDescent="0.3">
      <c r="A108" s="1" t="s">
        <v>31</v>
      </c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43"/>
      <c r="O108" s="41">
        <f>IF(SUM(Miscellaneous234556[[#This Row],[January]:[December]])&lt;&gt;0,AVERAGEIF(Miscellaneous234556[[#This Row],[January]:[December]],"&lt;&gt;0"),0)</f>
        <v>0</v>
      </c>
    </row>
    <row r="109" spans="1:15" ht="16.5" thickBot="1" x14ac:dyDescent="0.35">
      <c r="A109" s="1" t="s">
        <v>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43"/>
      <c r="O109" s="41">
        <f>IF(SUM(Miscellaneous234556[[#This Row],[January]:[December]])&lt;&gt;0,AVERAGEIF(Miscellaneous234556[[#This Row],[January]:[December]],"&lt;&gt;0"),0)</f>
        <v>0</v>
      </c>
    </row>
    <row r="110" spans="1:15" ht="16.5" thickTop="1" x14ac:dyDescent="0.3">
      <c r="A110" s="9" t="str">
        <f>"Total " &amp; Miscellaneous234556[[#Headers],[MISCELLANEOUS]]</f>
        <v>Total MISCELLANEOUS</v>
      </c>
      <c r="B110" s="28">
        <f>SUBTOTAL(9,Miscellaneous234556[January])</f>
        <v>0</v>
      </c>
      <c r="C110" s="28">
        <f>SUBTOTAL(9,Miscellaneous234556[February])</f>
        <v>0</v>
      </c>
      <c r="D110" s="28">
        <f>SUBTOTAL(9,Miscellaneous234556[March])</f>
        <v>0</v>
      </c>
      <c r="E110" s="28">
        <f>SUBTOTAL(9,Miscellaneous234556[April])</f>
        <v>0</v>
      </c>
      <c r="F110" s="28">
        <f>SUBTOTAL(9,Miscellaneous234556[May])</f>
        <v>0</v>
      </c>
      <c r="G110" s="28">
        <f>SUBTOTAL(9,Miscellaneous234556[June])</f>
        <v>0</v>
      </c>
      <c r="H110" s="28">
        <f>SUBTOTAL(9,Miscellaneous234556[July])</f>
        <v>0</v>
      </c>
      <c r="I110" s="28">
        <f>SUBTOTAL(9,Miscellaneous234556[August])</f>
        <v>0</v>
      </c>
      <c r="J110" s="28">
        <f>SUBTOTAL(9,Miscellaneous234556[September])</f>
        <v>0</v>
      </c>
      <c r="K110" s="28">
        <f>SUBTOTAL(9,Miscellaneous234556[October])</f>
        <v>0</v>
      </c>
      <c r="L110" s="28">
        <f>SUBTOTAL(9,Miscellaneous234556[November])</f>
        <v>0</v>
      </c>
      <c r="M110" s="28">
        <f>SUBTOTAL(9,Miscellaneous234556[December])</f>
        <v>0</v>
      </c>
      <c r="N110" s="43"/>
      <c r="O110" s="41">
        <f>IF(SUM(Miscellaneous234556[[#Totals],[January]:[December]])&lt;&gt;0,AVERAGEIF(Miscellaneous234556[[#Totals],[January]:[December]],"&lt;&gt;0"),0)</f>
        <v>0</v>
      </c>
    </row>
    <row r="113" spans="6:6" x14ac:dyDescent="0.3">
      <c r="F113" s="5"/>
    </row>
    <row r="114" spans="6:6" x14ac:dyDescent="0.3">
      <c r="F114" s="5"/>
    </row>
    <row r="115" spans="6:6" x14ac:dyDescent="0.3">
      <c r="F115" s="5"/>
    </row>
    <row r="116" spans="6:6" x14ac:dyDescent="0.3">
      <c r="F116" s="5"/>
    </row>
    <row r="117" spans="6:6" x14ac:dyDescent="0.3">
      <c r="F117" s="5"/>
    </row>
    <row r="118" spans="6:6" x14ac:dyDescent="0.3">
      <c r="F118" s="5"/>
    </row>
    <row r="119" spans="6:6" x14ac:dyDescent="0.3">
      <c r="F119" s="5"/>
    </row>
    <row r="122" spans="6:6" x14ac:dyDescent="0.3">
      <c r="F122" s="5"/>
    </row>
    <row r="123" spans="6:6" x14ac:dyDescent="0.3">
      <c r="F123" s="5"/>
    </row>
    <row r="124" spans="6:6" x14ac:dyDescent="0.3">
      <c r="F124" s="5"/>
    </row>
    <row r="125" spans="6:6" x14ac:dyDescent="0.3">
      <c r="F125" s="5"/>
    </row>
    <row r="126" spans="6:6" x14ac:dyDescent="0.3">
      <c r="F126" s="5"/>
    </row>
    <row r="127" spans="6:6" x14ac:dyDescent="0.3">
      <c r="F127" s="5"/>
    </row>
    <row r="128" spans="6:6" x14ac:dyDescent="0.3">
      <c r="F128" s="5"/>
    </row>
    <row r="133" spans="5:5" x14ac:dyDescent="0.3">
      <c r="E133" s="5"/>
    </row>
    <row r="134" spans="5:5" x14ac:dyDescent="0.3">
      <c r="E134" s="5"/>
    </row>
    <row r="135" spans="5:5" x14ac:dyDescent="0.3">
      <c r="E135" s="5"/>
    </row>
    <row r="136" spans="5:5" x14ac:dyDescent="0.3">
      <c r="E136" s="5"/>
    </row>
    <row r="137" spans="5:5" x14ac:dyDescent="0.3">
      <c r="E137" s="5"/>
    </row>
    <row r="138" spans="5:5" x14ac:dyDescent="0.3">
      <c r="E138" s="5"/>
    </row>
    <row r="139" spans="5:5" x14ac:dyDescent="0.3">
      <c r="E139" s="5"/>
    </row>
    <row r="142" spans="5:5" x14ac:dyDescent="0.3">
      <c r="E142" s="5"/>
    </row>
    <row r="143" spans="5:5" x14ac:dyDescent="0.3">
      <c r="E143" s="5"/>
    </row>
    <row r="144" spans="5:5" x14ac:dyDescent="0.3">
      <c r="E144" s="5"/>
    </row>
    <row r="145" spans="5:5" x14ac:dyDescent="0.3">
      <c r="E145" s="5"/>
    </row>
    <row r="146" spans="5:5" x14ac:dyDescent="0.3">
      <c r="E146" s="5"/>
    </row>
    <row r="147" spans="5:5" x14ac:dyDescent="0.3">
      <c r="E147" s="5"/>
    </row>
    <row r="148" spans="5:5" x14ac:dyDescent="0.3">
      <c r="E148" s="5"/>
    </row>
  </sheetData>
  <mergeCells count="1">
    <mergeCell ref="H2:I2"/>
  </mergeCells>
  <conditionalFormatting sqref="N4:N8">
    <cfRule type="cellIs" dxfId="637" priority="6" operator="lessThan">
      <formula>0</formula>
    </cfRule>
  </conditionalFormatting>
  <conditionalFormatting sqref="B7:M8">
    <cfRule type="cellIs" dxfId="636" priority="5" operator="lessThan">
      <formula>0</formula>
    </cfRule>
  </conditionalFormatting>
  <conditionalFormatting sqref="B44:M44">
    <cfRule type="cellIs" dxfId="635" priority="3" operator="greaterThan">
      <formula>$O$44</formula>
    </cfRule>
  </conditionalFormatting>
  <conditionalFormatting sqref="B18:M18">
    <cfRule type="cellIs" dxfId="634" priority="4" operator="greaterThan">
      <formula>$O$18</formula>
    </cfRule>
  </conditionalFormatting>
  <conditionalFormatting sqref="B73:M73">
    <cfRule type="cellIs" dxfId="633" priority="2" operator="greaterThan">
      <formula>$O$73</formula>
    </cfRule>
  </conditionalFormatting>
  <conditionalFormatting sqref="B89:M89">
    <cfRule type="cellIs" dxfId="632" priority="1" operator="greaterThan">
      <formula>$O$89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333375</xdr:colOff>
                    <xdr:row>0</xdr:row>
                    <xdr:rowOff>180975</xdr:rowOff>
                  </from>
                  <to>
                    <xdr:col>6</xdr:col>
                    <xdr:colOff>219075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333375</xdr:colOff>
                    <xdr:row>0</xdr:row>
                    <xdr:rowOff>180975</xdr:rowOff>
                  </from>
                  <to>
                    <xdr:col>6</xdr:col>
                    <xdr:colOff>219075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1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DD1A-C547-451A-A596-70ECE3669295}">
  <sheetPr codeName="Sheet5"/>
  <dimension ref="A1:H63"/>
  <sheetViews>
    <sheetView workbookViewId="0">
      <selection activeCell="G2" sqref="G2"/>
    </sheetView>
  </sheetViews>
  <sheetFormatPr defaultColWidth="8.875" defaultRowHeight="14.25" x14ac:dyDescent="0.2"/>
  <cols>
    <col min="2" max="2" width="17.125" style="60" customWidth="1"/>
    <col min="3" max="3" width="10.125" style="51" customWidth="1"/>
    <col min="4" max="4" width="7" style="51" customWidth="1"/>
    <col min="5" max="5" width="15.875" style="51" customWidth="1"/>
    <col min="6" max="6" width="19.125" style="51" customWidth="1"/>
    <col min="7" max="7" width="69.875" style="51" customWidth="1"/>
    <col min="8" max="8" width="12.625" style="51" customWidth="1"/>
  </cols>
  <sheetData>
    <row r="1" spans="1:8" ht="21" customHeight="1" x14ac:dyDescent="0.25">
      <c r="A1" s="69" t="s">
        <v>109</v>
      </c>
      <c r="B1" s="69"/>
      <c r="C1"/>
      <c r="D1"/>
      <c r="E1"/>
      <c r="F1"/>
      <c r="G1"/>
      <c r="H1"/>
    </row>
    <row r="2" spans="1:8" x14ac:dyDescent="0.2">
      <c r="B2" s="58"/>
      <c r="C2"/>
      <c r="D2"/>
      <c r="E2"/>
      <c r="F2"/>
      <c r="G2"/>
      <c r="H2"/>
    </row>
    <row r="3" spans="1:8" ht="15" x14ac:dyDescent="0.25">
      <c r="B3" s="59" t="s">
        <v>103</v>
      </c>
      <c r="C3" s="53" t="s">
        <v>104</v>
      </c>
      <c r="D3" s="53" t="s">
        <v>105</v>
      </c>
      <c r="E3" s="53" t="s">
        <v>99</v>
      </c>
      <c r="F3" s="53" t="s">
        <v>100</v>
      </c>
      <c r="G3" s="53" t="s">
        <v>101</v>
      </c>
      <c r="H3" s="53" t="s">
        <v>102</v>
      </c>
    </row>
    <row r="4" spans="1:8" x14ac:dyDescent="0.2">
      <c r="G4" s="56"/>
      <c r="H4" s="54"/>
    </row>
    <row r="5" spans="1:8" x14ac:dyDescent="0.2">
      <c r="B5" s="61"/>
      <c r="G5" s="56"/>
      <c r="H5" s="54"/>
    </row>
    <row r="6" spans="1:8" x14ac:dyDescent="0.2">
      <c r="B6" s="61"/>
      <c r="G6" s="56" t="s">
        <v>114</v>
      </c>
      <c r="H6" s="54"/>
    </row>
    <row r="7" spans="1:8" x14ac:dyDescent="0.2">
      <c r="B7" s="61"/>
      <c r="G7" s="56"/>
      <c r="H7" s="54"/>
    </row>
    <row r="8" spans="1:8" x14ac:dyDescent="0.2">
      <c r="B8" s="61"/>
      <c r="G8" s="56"/>
      <c r="H8" s="54"/>
    </row>
    <row r="9" spans="1:8" x14ac:dyDescent="0.2">
      <c r="B9" s="61"/>
      <c r="G9" s="56"/>
      <c r="H9" s="54"/>
    </row>
    <row r="10" spans="1:8" x14ac:dyDescent="0.2">
      <c r="B10" s="61"/>
      <c r="G10" s="56"/>
      <c r="H10" s="54"/>
    </row>
    <row r="11" spans="1:8" x14ac:dyDescent="0.2">
      <c r="H11" s="54"/>
    </row>
    <row r="12" spans="1:8" x14ac:dyDescent="0.2">
      <c r="H12" s="54"/>
    </row>
    <row r="13" spans="1:8" x14ac:dyDescent="0.2">
      <c r="H13" s="54"/>
    </row>
    <row r="14" spans="1:8" x14ac:dyDescent="0.2">
      <c r="H14" s="54"/>
    </row>
    <row r="15" spans="1:8" x14ac:dyDescent="0.2">
      <c r="H15" s="54"/>
    </row>
    <row r="16" spans="1:8" x14ac:dyDescent="0.2">
      <c r="H16" s="54"/>
    </row>
    <row r="17" spans="2:8" x14ac:dyDescent="0.2">
      <c r="H17" s="54"/>
    </row>
    <row r="18" spans="2:8" x14ac:dyDescent="0.2">
      <c r="B18" s="62"/>
      <c r="C18" s="52"/>
      <c r="D18" s="52"/>
      <c r="E18" s="52"/>
      <c r="F18" s="52"/>
      <c r="G18" s="52"/>
      <c r="H18" s="55"/>
    </row>
    <row r="19" spans="2:8" x14ac:dyDescent="0.2">
      <c r="H19" s="54"/>
    </row>
    <row r="20" spans="2:8" x14ac:dyDescent="0.2">
      <c r="H20" s="54"/>
    </row>
    <row r="21" spans="2:8" x14ac:dyDescent="0.2">
      <c r="H21" s="54"/>
    </row>
    <row r="22" spans="2:8" x14ac:dyDescent="0.2">
      <c r="H22" s="54"/>
    </row>
    <row r="23" spans="2:8" x14ac:dyDescent="0.2">
      <c r="H23" s="54"/>
    </row>
    <row r="24" spans="2:8" x14ac:dyDescent="0.2">
      <c r="H24" s="54"/>
    </row>
    <row r="25" spans="2:8" x14ac:dyDescent="0.2">
      <c r="H25" s="54"/>
    </row>
    <row r="26" spans="2:8" x14ac:dyDescent="0.2">
      <c r="H26" s="54"/>
    </row>
    <row r="27" spans="2:8" x14ac:dyDescent="0.2">
      <c r="H27" s="54"/>
    </row>
    <row r="28" spans="2:8" x14ac:dyDescent="0.2">
      <c r="H28" s="54"/>
    </row>
    <row r="29" spans="2:8" x14ac:dyDescent="0.2">
      <c r="H29" s="54"/>
    </row>
    <row r="30" spans="2:8" x14ac:dyDescent="0.2">
      <c r="H30" s="54"/>
    </row>
    <row r="31" spans="2:8" x14ac:dyDescent="0.2">
      <c r="H31" s="54"/>
    </row>
    <row r="32" spans="2:8" x14ac:dyDescent="0.2">
      <c r="H32" s="54"/>
    </row>
    <row r="33" spans="8:8" x14ac:dyDescent="0.2">
      <c r="H33" s="54"/>
    </row>
    <row r="34" spans="8:8" x14ac:dyDescent="0.2">
      <c r="H34" s="54"/>
    </row>
    <row r="35" spans="8:8" x14ac:dyDescent="0.2">
      <c r="H35" s="54"/>
    </row>
    <row r="36" spans="8:8" x14ac:dyDescent="0.2">
      <c r="H36" s="54"/>
    </row>
    <row r="37" spans="8:8" x14ac:dyDescent="0.2">
      <c r="H37" s="54"/>
    </row>
    <row r="38" spans="8:8" x14ac:dyDescent="0.2">
      <c r="H38" s="54"/>
    </row>
    <row r="39" spans="8:8" x14ac:dyDescent="0.2">
      <c r="H39" s="54"/>
    </row>
    <row r="40" spans="8:8" x14ac:dyDescent="0.2">
      <c r="H40" s="54"/>
    </row>
    <row r="41" spans="8:8" x14ac:dyDescent="0.2">
      <c r="H41" s="54"/>
    </row>
    <row r="42" spans="8:8" x14ac:dyDescent="0.2">
      <c r="H42" s="54"/>
    </row>
    <row r="43" spans="8:8" x14ac:dyDescent="0.2">
      <c r="H43" s="54"/>
    </row>
    <row r="44" spans="8:8" x14ac:dyDescent="0.2">
      <c r="H44" s="54"/>
    </row>
    <row r="45" spans="8:8" x14ac:dyDescent="0.2">
      <c r="H45" s="54"/>
    </row>
    <row r="46" spans="8:8" x14ac:dyDescent="0.2">
      <c r="H46" s="54"/>
    </row>
    <row r="47" spans="8:8" x14ac:dyDescent="0.2">
      <c r="H47" s="54"/>
    </row>
    <row r="48" spans="8:8" x14ac:dyDescent="0.2">
      <c r="H48" s="54"/>
    </row>
    <row r="49" spans="8:8" x14ac:dyDescent="0.2">
      <c r="H49" s="54"/>
    </row>
    <row r="50" spans="8:8" x14ac:dyDescent="0.2">
      <c r="H50" s="54"/>
    </row>
    <row r="51" spans="8:8" x14ac:dyDescent="0.2">
      <c r="H51" s="54"/>
    </row>
    <row r="52" spans="8:8" x14ac:dyDescent="0.2">
      <c r="H52" s="54"/>
    </row>
    <row r="53" spans="8:8" x14ac:dyDescent="0.2">
      <c r="H53" s="54"/>
    </row>
    <row r="54" spans="8:8" x14ac:dyDescent="0.2">
      <c r="H54" s="54"/>
    </row>
    <row r="55" spans="8:8" x14ac:dyDescent="0.2">
      <c r="H55" s="54"/>
    </row>
    <row r="56" spans="8:8" x14ac:dyDescent="0.2">
      <c r="H56" s="54"/>
    </row>
    <row r="57" spans="8:8" x14ac:dyDescent="0.2">
      <c r="H57" s="54"/>
    </row>
    <row r="58" spans="8:8" x14ac:dyDescent="0.2">
      <c r="H58" s="54"/>
    </row>
    <row r="59" spans="8:8" x14ac:dyDescent="0.2">
      <c r="H59" s="54"/>
    </row>
    <row r="60" spans="8:8" x14ac:dyDescent="0.2">
      <c r="H60" s="54"/>
    </row>
    <row r="61" spans="8:8" x14ac:dyDescent="0.2">
      <c r="H61" s="54"/>
    </row>
    <row r="62" spans="8:8" x14ac:dyDescent="0.2">
      <c r="H62" s="54"/>
    </row>
    <row r="63" spans="8:8" x14ac:dyDescent="0.2">
      <c r="H63" s="54"/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66"/>
  <sheetViews>
    <sheetView showGridLines="0" workbookViewId="0">
      <selection activeCell="B16" sqref="B16"/>
    </sheetView>
  </sheetViews>
  <sheetFormatPr defaultColWidth="0" defaultRowHeight="0" customHeight="1" zeroHeight="1" x14ac:dyDescent="0.25"/>
  <cols>
    <col min="1" max="1" width="9.625" bestFit="1" customWidth="1"/>
    <col min="2" max="2" width="58.625" customWidth="1"/>
    <col min="3" max="6" width="4.625" customWidth="1"/>
    <col min="7" max="7" width="12.125" style="49" customWidth="1"/>
    <col min="8" max="8" width="47.5" customWidth="1"/>
    <col min="9" max="9" width="9.5" customWidth="1"/>
    <col min="10" max="10" width="16.125" bestFit="1" customWidth="1"/>
    <col min="11" max="11" width="11.625" bestFit="1" customWidth="1"/>
    <col min="12" max="12" width="12.125" customWidth="1"/>
    <col min="13" max="13" width="7.125" customWidth="1"/>
    <col min="14" max="14" width="7.625" customWidth="1"/>
    <col min="15" max="20" width="12.125" customWidth="1"/>
    <col min="21" max="24" width="9" customWidth="1"/>
    <col min="25" max="25" width="0" hidden="1" customWidth="1"/>
    <col min="26" max="16384" width="9" hidden="1"/>
  </cols>
  <sheetData>
    <row r="1" spans="1:20" ht="26.1" customHeight="1" x14ac:dyDescent="0.2">
      <c r="A1" s="15" t="s">
        <v>55</v>
      </c>
      <c r="B1" s="15"/>
      <c r="C1" s="16"/>
      <c r="D1" s="16"/>
      <c r="E1" s="16"/>
      <c r="F1" s="16"/>
      <c r="G1" s="50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" x14ac:dyDescent="0.25">
      <c r="A2" s="22"/>
      <c r="O2" s="17"/>
      <c r="P2" s="17"/>
      <c r="Q2" s="17"/>
      <c r="R2" s="17"/>
      <c r="S2" s="17"/>
      <c r="T2" s="17"/>
    </row>
    <row r="3" spans="1:20" ht="15" x14ac:dyDescent="0.25">
      <c r="B3" s="18"/>
      <c r="O3" s="18"/>
      <c r="P3" s="18"/>
      <c r="Q3" s="18"/>
      <c r="R3" s="18"/>
      <c r="S3" s="18"/>
      <c r="T3" s="18"/>
    </row>
    <row r="4" spans="1:20" ht="28.5" x14ac:dyDescent="0.25">
      <c r="A4" s="63" t="s">
        <v>56</v>
      </c>
      <c r="B4" s="20" t="s">
        <v>106</v>
      </c>
      <c r="O4" s="18"/>
      <c r="P4" s="18"/>
      <c r="Q4" s="18"/>
      <c r="R4" s="18"/>
      <c r="S4" s="18"/>
      <c r="T4" s="18"/>
    </row>
    <row r="5" spans="1:20" ht="15" x14ac:dyDescent="0.25">
      <c r="B5" s="20"/>
      <c r="H5" s="47"/>
      <c r="O5" s="18"/>
      <c r="P5" s="18"/>
      <c r="Q5" s="18"/>
      <c r="R5" s="18"/>
      <c r="S5" s="18"/>
      <c r="T5" s="18"/>
    </row>
    <row r="6" spans="1:20" ht="15" x14ac:dyDescent="0.25">
      <c r="B6" s="20"/>
      <c r="H6" s="47"/>
      <c r="O6" s="18"/>
      <c r="P6" s="18"/>
      <c r="Q6" s="18"/>
      <c r="R6" s="18"/>
      <c r="S6" s="18"/>
      <c r="T6" s="18"/>
    </row>
    <row r="7" spans="1:20" ht="15" x14ac:dyDescent="0.25">
      <c r="B7" s="20"/>
      <c r="H7" s="47"/>
      <c r="O7" s="18"/>
      <c r="P7" s="18"/>
      <c r="Q7" s="18"/>
      <c r="R7" s="18"/>
      <c r="S7" s="18"/>
      <c r="T7" s="18"/>
    </row>
    <row r="8" spans="1:20" ht="15" x14ac:dyDescent="0.25">
      <c r="B8" s="20"/>
      <c r="H8" s="47"/>
      <c r="O8" s="18"/>
      <c r="P8" s="18"/>
      <c r="Q8" s="18"/>
      <c r="R8" s="18"/>
      <c r="S8" s="18"/>
      <c r="T8" s="18"/>
    </row>
    <row r="9" spans="1:20" ht="15" x14ac:dyDescent="0.25">
      <c r="A9" s="49"/>
      <c r="B9" s="67"/>
      <c r="H9" s="47"/>
      <c r="O9" s="18"/>
      <c r="P9" s="18"/>
      <c r="Q9" s="18"/>
      <c r="R9" s="18"/>
      <c r="S9" s="18"/>
      <c r="T9" s="18"/>
    </row>
    <row r="10" spans="1:20" ht="15" x14ac:dyDescent="0.25">
      <c r="B10" s="20"/>
      <c r="H10" s="47"/>
      <c r="O10" s="18"/>
      <c r="P10" s="18"/>
      <c r="Q10" s="18"/>
      <c r="R10" s="18"/>
      <c r="S10" s="18"/>
      <c r="T10" s="18"/>
    </row>
    <row r="11" spans="1:20" ht="15" x14ac:dyDescent="0.25">
      <c r="B11" s="20"/>
      <c r="H11" s="47"/>
      <c r="O11" s="18"/>
      <c r="P11" s="18"/>
      <c r="Q11" s="18"/>
      <c r="R11" s="18"/>
      <c r="S11" s="18"/>
      <c r="T11" s="18"/>
    </row>
    <row r="12" spans="1:20" ht="14.25" x14ac:dyDescent="0.2">
      <c r="B12" s="20"/>
      <c r="G12"/>
      <c r="H12" s="47"/>
      <c r="O12" s="18"/>
      <c r="P12" s="18"/>
      <c r="Q12" s="18"/>
      <c r="R12" s="18"/>
      <c r="S12" s="18"/>
      <c r="T12" s="18"/>
    </row>
    <row r="13" spans="1:20" ht="16.5" x14ac:dyDescent="0.3">
      <c r="A13" s="19"/>
      <c r="B13" s="18"/>
      <c r="H13" s="47"/>
      <c r="O13" s="18"/>
      <c r="P13" s="18"/>
      <c r="Q13" s="18"/>
      <c r="R13" s="18"/>
      <c r="S13" s="18"/>
      <c r="T13" s="18"/>
    </row>
    <row r="14" spans="1:20" ht="18.75" x14ac:dyDescent="0.25">
      <c r="B14" s="20"/>
      <c r="O14" s="48"/>
      <c r="P14" s="48"/>
      <c r="Q14" s="48"/>
      <c r="R14" s="48"/>
      <c r="S14" s="48"/>
      <c r="T14" s="48"/>
    </row>
    <row r="15" spans="1:20" ht="16.5" x14ac:dyDescent="0.3">
      <c r="A15" s="19"/>
      <c r="B15" s="18"/>
      <c r="O15" s="18"/>
      <c r="P15" s="18"/>
      <c r="Q15" s="18"/>
      <c r="R15" s="18"/>
      <c r="S15" s="18"/>
      <c r="T15" s="18"/>
    </row>
    <row r="16" spans="1:20" ht="15" x14ac:dyDescent="0.25">
      <c r="B16" s="20"/>
      <c r="O16" s="18"/>
      <c r="P16" s="18"/>
      <c r="Q16" s="18"/>
      <c r="R16" s="18"/>
      <c r="S16" s="18"/>
      <c r="T16" s="18"/>
    </row>
    <row r="17" spans="1:20" ht="15" x14ac:dyDescent="0.25">
      <c r="B17" s="18"/>
      <c r="O17" s="18"/>
      <c r="P17" s="18"/>
      <c r="Q17" s="18"/>
      <c r="R17" s="18"/>
      <c r="S17" s="18"/>
      <c r="T17" s="18"/>
    </row>
    <row r="18" spans="1:20" ht="16.5" x14ac:dyDescent="0.3">
      <c r="A18" s="19"/>
      <c r="B18" s="18"/>
      <c r="O18" s="18"/>
      <c r="P18" s="18"/>
      <c r="Q18" s="18"/>
      <c r="R18" s="18"/>
      <c r="S18" s="18"/>
      <c r="T18" s="18"/>
    </row>
    <row r="19" spans="1:20" ht="15" x14ac:dyDescent="0.25">
      <c r="B19" s="20"/>
      <c r="O19" s="18"/>
      <c r="P19" s="18"/>
      <c r="Q19" s="18"/>
      <c r="R19" s="18"/>
      <c r="S19" s="18"/>
      <c r="T19" s="18"/>
    </row>
    <row r="20" spans="1:20" ht="15" x14ac:dyDescent="0.25">
      <c r="B20" s="18"/>
      <c r="O20" s="18"/>
      <c r="P20" s="18"/>
      <c r="Q20" s="18"/>
      <c r="R20" s="18"/>
      <c r="S20" s="18"/>
      <c r="T20" s="18"/>
    </row>
    <row r="21" spans="1:20" ht="15" x14ac:dyDescent="0.25">
      <c r="B21" s="20"/>
      <c r="O21" s="18"/>
      <c r="P21" s="18"/>
      <c r="Q21" s="18"/>
      <c r="R21" s="18"/>
      <c r="S21" s="18"/>
      <c r="T21" s="18"/>
    </row>
    <row r="22" spans="1:20" ht="15.75" x14ac:dyDescent="0.25">
      <c r="A22" s="21"/>
      <c r="B22" s="46" t="s">
        <v>96</v>
      </c>
    </row>
    <row r="23" spans="1:20" ht="15" x14ac:dyDescent="0.25"/>
    <row r="24" spans="1:20" ht="18.75" x14ac:dyDescent="0.3">
      <c r="A24" s="70" t="s">
        <v>98</v>
      </c>
      <c r="B24" s="70"/>
    </row>
    <row r="25" spans="1:20" ht="43.5" customHeight="1" x14ac:dyDescent="0.25">
      <c r="B25" s="47" t="s">
        <v>97</v>
      </c>
    </row>
    <row r="26" spans="1:20" ht="18.75" x14ac:dyDescent="0.3">
      <c r="A26" s="71" t="s">
        <v>112</v>
      </c>
      <c r="B26" s="71"/>
    </row>
    <row r="28" spans="1:20" ht="15" x14ac:dyDescent="0.25">
      <c r="A28" t="s">
        <v>108</v>
      </c>
      <c r="B28" t="s">
        <v>107</v>
      </c>
    </row>
    <row r="29" spans="1:20" ht="43.5" x14ac:dyDescent="0.25">
      <c r="B29" s="47" t="s">
        <v>113</v>
      </c>
    </row>
    <row r="30" spans="1:20" ht="18.75" x14ac:dyDescent="0.3">
      <c r="A30" s="71" t="s">
        <v>110</v>
      </c>
      <c r="B30" s="71"/>
    </row>
    <row r="31" spans="1:20" ht="29.25" x14ac:dyDescent="0.25">
      <c r="B31" s="47" t="s">
        <v>111</v>
      </c>
    </row>
    <row r="32" spans="1:20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</sheetData>
  <sortState xmlns:xlrd2="http://schemas.microsoft.com/office/spreadsheetml/2017/richdata2" ref="H5:K13">
    <sortCondition descending="1" ref="K5:K13"/>
  </sortState>
  <mergeCells count="3">
    <mergeCell ref="A24:B24"/>
    <mergeCell ref="A26:B26"/>
    <mergeCell ref="A30:B30"/>
  </mergeCells>
  <conditionalFormatting sqref="K19:K21 K23:K24 K5:K17">
    <cfRule type="colorScale" priority="1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32890-49DC-4FFC-838F-C506DDB48CF2}">
  <dimension ref="A1:AG148"/>
  <sheetViews>
    <sheetView topLeftCell="F1" workbookViewId="0">
      <selection activeCell="D24" sqref="D24"/>
    </sheetView>
  </sheetViews>
  <sheetFormatPr defaultColWidth="8.875" defaultRowHeight="15.75" x14ac:dyDescent="0.3"/>
  <cols>
    <col min="1" max="1" width="22.5" style="1" customWidth="1"/>
    <col min="2" max="9" width="10.625" style="1" customWidth="1"/>
    <col min="10" max="11" width="10.625" customWidth="1"/>
    <col min="12" max="13" width="11.125" bestFit="1" customWidth="1"/>
    <col min="14" max="14" width="0.625" customWidth="1"/>
    <col min="15" max="16" width="10.625" customWidth="1"/>
    <col min="17" max="17" width="9.875" bestFit="1" customWidth="1"/>
    <col min="34" max="16384" width="8.875" style="1"/>
  </cols>
  <sheetData>
    <row r="1" spans="1:33" ht="26.1" customHeight="1" x14ac:dyDescent="0.3">
      <c r="A1" s="14" t="s">
        <v>57</v>
      </c>
      <c r="B1" s="14"/>
      <c r="C1" s="14"/>
      <c r="D1" s="14"/>
      <c r="E1" s="14"/>
      <c r="F1" s="14"/>
      <c r="G1" s="14"/>
      <c r="H1" s="14"/>
      <c r="I1" s="14"/>
    </row>
    <row r="2" spans="1:33" s="2" customFormat="1" x14ac:dyDescent="0.3">
      <c r="A2" t="s">
        <v>70</v>
      </c>
      <c r="B2"/>
      <c r="C2" s="13"/>
      <c r="D2" s="13"/>
      <c r="E2" s="12"/>
      <c r="F2" s="12"/>
      <c r="H2" s="68"/>
      <c r="I2" s="68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s="2" customFormat="1" x14ac:dyDescent="0.3">
      <c r="A3"/>
      <c r="B3"/>
      <c r="C3" s="13"/>
      <c r="D3" s="13"/>
      <c r="E3" s="12"/>
      <c r="F3" s="12"/>
      <c r="H3" s="23"/>
      <c r="I3" s="2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s="2" customFormat="1" x14ac:dyDescent="0.3">
      <c r="A4" s="10" t="s">
        <v>54</v>
      </c>
      <c r="B4" s="11" t="s">
        <v>81</v>
      </c>
      <c r="C4" s="11" t="s">
        <v>82</v>
      </c>
      <c r="D4" s="11" t="s">
        <v>83</v>
      </c>
      <c r="E4" s="11" t="s">
        <v>84</v>
      </c>
      <c r="F4" s="11" t="s">
        <v>85</v>
      </c>
      <c r="G4" s="11" t="s">
        <v>71</v>
      </c>
      <c r="H4" s="11" t="s">
        <v>72</v>
      </c>
      <c r="I4" s="11" t="s">
        <v>73</v>
      </c>
      <c r="J4" s="11" t="s">
        <v>74</v>
      </c>
      <c r="K4" s="11" t="s">
        <v>75</v>
      </c>
      <c r="L4" s="11" t="s">
        <v>76</v>
      </c>
      <c r="M4" s="11" t="s">
        <v>77</v>
      </c>
      <c r="N4" s="44"/>
      <c r="O4" s="40" t="s">
        <v>94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s="2" customFormat="1" ht="16.5" x14ac:dyDescent="0.3">
      <c r="A5" s="33" t="s">
        <v>2</v>
      </c>
      <c r="B5" s="66">
        <f>SUBTOTAL(9,Income336477[January])</f>
        <v>0</v>
      </c>
      <c r="C5" s="66">
        <f>SUBTOTAL(9,Income336477[February])</f>
        <v>0</v>
      </c>
      <c r="D5" s="66">
        <f>SUBTOTAL(9,Income336477[March])</f>
        <v>0</v>
      </c>
      <c r="E5" s="66">
        <f>SUBTOTAL(9,Income336477[April])</f>
        <v>0</v>
      </c>
      <c r="F5" s="66">
        <f>SUBTOTAL(9,Income336477[May])</f>
        <v>0</v>
      </c>
      <c r="G5" s="66">
        <f>SUBTOTAL(9,Income336477[June])</f>
        <v>0</v>
      </c>
      <c r="H5" s="66">
        <f>SUBTOTAL(9,Income336477[July])</f>
        <v>0</v>
      </c>
      <c r="I5" s="66">
        <f>SUBTOTAL(9,Income336477[August])</f>
        <v>0</v>
      </c>
      <c r="J5" s="66">
        <f>SUBTOTAL(9,Income336477[September])</f>
        <v>0</v>
      </c>
      <c r="K5" s="66">
        <f>SUBTOTAL(9,Income336477[October])</f>
        <v>0</v>
      </c>
      <c r="L5" s="66">
        <f>SUBTOTAL(9,Income336477[November])</f>
        <v>0</v>
      </c>
      <c r="M5" s="66">
        <f>SUBTOTAL(9,Income336477[December])</f>
        <v>0</v>
      </c>
      <c r="N5" s="44"/>
      <c r="O5" s="34">
        <f>IF(SUM(BudgetSummary235466[[#This Row],[January]:[December]])&lt;&gt;0,AVERAGEIF(BudgetSummary235466[[#This Row],[January]:[December]],"&lt;&gt;0"),0)</f>
        <v>0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 s="2" customFormat="1" ht="16.5" x14ac:dyDescent="0.3">
      <c r="A6" s="32" t="s">
        <v>3</v>
      </c>
      <c r="B6" s="65">
        <f>SUBTOTAL(9,B21:B88,B99:B109)</f>
        <v>0</v>
      </c>
      <c r="C6" s="65">
        <f t="shared" ref="C6:M6" si="0">SUBTOTAL(9,C21:C88,C99:C109)</f>
        <v>0</v>
      </c>
      <c r="D6" s="65">
        <f t="shared" si="0"/>
        <v>0</v>
      </c>
      <c r="E6" s="65">
        <f t="shared" si="0"/>
        <v>0</v>
      </c>
      <c r="F6" s="65">
        <f t="shared" si="0"/>
        <v>0</v>
      </c>
      <c r="G6" s="65">
        <f t="shared" si="0"/>
        <v>0</v>
      </c>
      <c r="H6" s="65">
        <f t="shared" si="0"/>
        <v>0</v>
      </c>
      <c r="I6" s="65">
        <f t="shared" si="0"/>
        <v>0</v>
      </c>
      <c r="J6" s="65">
        <f t="shared" si="0"/>
        <v>0</v>
      </c>
      <c r="K6" s="65">
        <f t="shared" si="0"/>
        <v>0</v>
      </c>
      <c r="L6" s="65">
        <f t="shared" si="0"/>
        <v>0</v>
      </c>
      <c r="M6" s="65">
        <f t="shared" si="0"/>
        <v>0</v>
      </c>
      <c r="N6" s="44"/>
      <c r="O6" s="34">
        <f>IF(SUM(BudgetSummary235466[[#This Row],[January]:[December]])&lt;&gt;0,AVERAGEIF(BudgetSummary235466[[#This Row],[January]:[December]],"&lt;&gt;0"),0)</f>
        <v>0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 s="2" customFormat="1" x14ac:dyDescent="0.3">
      <c r="A7" t="s">
        <v>88</v>
      </c>
      <c r="B7" s="31">
        <f>B5-B6</f>
        <v>0</v>
      </c>
      <c r="C7" s="31">
        <f t="shared" ref="C7:M7" si="1">C5-C6</f>
        <v>0</v>
      </c>
      <c r="D7" s="31">
        <f t="shared" si="1"/>
        <v>0</v>
      </c>
      <c r="E7" s="31">
        <f t="shared" si="1"/>
        <v>0</v>
      </c>
      <c r="F7" s="31">
        <f t="shared" si="1"/>
        <v>0</v>
      </c>
      <c r="G7" s="31">
        <f t="shared" si="1"/>
        <v>0</v>
      </c>
      <c r="H7" s="31">
        <f t="shared" si="1"/>
        <v>0</v>
      </c>
      <c r="I7" s="31">
        <f t="shared" si="1"/>
        <v>0</v>
      </c>
      <c r="J7" s="31">
        <f t="shared" si="1"/>
        <v>0</v>
      </c>
      <c r="K7" s="31">
        <f t="shared" si="1"/>
        <v>0</v>
      </c>
      <c r="L7" s="31">
        <f t="shared" si="1"/>
        <v>0</v>
      </c>
      <c r="M7" s="31">
        <f t="shared" si="1"/>
        <v>0</v>
      </c>
      <c r="N7" s="44"/>
      <c r="O7" s="34">
        <f>IF(SUM(BudgetSummary235466[[#Totals],[January]:[December]])&lt;&gt;0,AVERAGEIF(BudgetSummary235466[[#Totals],[January]:[December]],"&lt;&gt;0"),0)</f>
        <v>0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 s="2" customFormat="1" x14ac:dyDescent="0.3">
      <c r="A8" s="35" t="s">
        <v>90</v>
      </c>
      <c r="B8" s="36">
        <f>SUM($B$7:B7)</f>
        <v>0</v>
      </c>
      <c r="C8" s="36">
        <f>SUM($B$7:C7)</f>
        <v>0</v>
      </c>
      <c r="D8" s="36">
        <f>SUM($B$7:D7)</f>
        <v>0</v>
      </c>
      <c r="E8" s="36">
        <f>SUM($B$7:E7)</f>
        <v>0</v>
      </c>
      <c r="F8" s="36">
        <f>SUM($B$7:F7)</f>
        <v>0</v>
      </c>
      <c r="G8" s="36">
        <f>SUM($B$7:G7)</f>
        <v>0</v>
      </c>
      <c r="H8" s="36">
        <f>SUM($B$7:H7)</f>
        <v>0</v>
      </c>
      <c r="I8" s="36">
        <f>SUM($B$7:I7)</f>
        <v>0</v>
      </c>
      <c r="J8" s="36">
        <f>SUM($B$7:J7)</f>
        <v>0</v>
      </c>
      <c r="K8" s="36">
        <f>SUM($B$7:K7)</f>
        <v>0</v>
      </c>
      <c r="L8" s="36">
        <f>SUM($B$7:L7)</f>
        <v>0</v>
      </c>
      <c r="M8" s="37">
        <f>SUM($B$7:M7)</f>
        <v>0</v>
      </c>
      <c r="N8" s="44"/>
      <c r="O8" s="34">
        <f>IF(SUM(BudgetSummary235466[[#Totals],[January]:[December]])&lt;&gt;0,AVERAGEIF(BudgetSummary235466[[#Totals],[January]:[December]],"&lt;&gt;0"),0)</f>
        <v>0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x14ac:dyDescent="0.3">
      <c r="A9" s="2"/>
      <c r="B9" s="2"/>
      <c r="C9" s="2"/>
      <c r="D9" s="2"/>
      <c r="E9" s="3"/>
      <c r="F9" s="2"/>
      <c r="G9" s="2"/>
      <c r="H9" s="2"/>
      <c r="N9" s="43"/>
    </row>
    <row r="10" spans="1:33" ht="16.5" thickBot="1" x14ac:dyDescent="0.35">
      <c r="A10" s="8" t="s">
        <v>1</v>
      </c>
      <c r="B10" s="29" t="s">
        <v>81</v>
      </c>
      <c r="C10" s="29" t="s">
        <v>82</v>
      </c>
      <c r="D10" s="29" t="s">
        <v>83</v>
      </c>
      <c r="E10" s="29" t="s">
        <v>84</v>
      </c>
      <c r="F10" s="29" t="s">
        <v>85</v>
      </c>
      <c r="G10" s="29" t="s">
        <v>71</v>
      </c>
      <c r="H10" s="30" t="s">
        <v>72</v>
      </c>
      <c r="I10" s="30" t="s">
        <v>73</v>
      </c>
      <c r="J10" s="30" t="s">
        <v>74</v>
      </c>
      <c r="K10" s="30" t="s">
        <v>75</v>
      </c>
      <c r="L10" s="30" t="s">
        <v>76</v>
      </c>
      <c r="M10" s="30" t="s">
        <v>77</v>
      </c>
      <c r="N10" s="43"/>
      <c r="O10" s="42" t="s">
        <v>94</v>
      </c>
    </row>
    <row r="11" spans="1:33" x14ac:dyDescent="0.3">
      <c r="A11" s="1" t="s">
        <v>95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43"/>
      <c r="O11" s="41">
        <f>IF(SUM(Income336477[[#This Row],[January]:[December]])&lt;&gt;0,AVERAGEIF(Income336477[[#This Row],[January]:[December]],"&lt;&gt;0"),0)</f>
        <v>0</v>
      </c>
    </row>
    <row r="12" spans="1:33" x14ac:dyDescent="0.3">
      <c r="A12" s="27" t="s">
        <v>78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43"/>
      <c r="O12" s="41">
        <f>IF(SUM(Income336477[[#This Row],[January]:[December]])&lt;&gt;0,AVERAGEIF(Income336477[[#This Row],[January]:[December]],"&lt;&gt;0"),0)</f>
        <v>0</v>
      </c>
    </row>
    <row r="13" spans="1:33" x14ac:dyDescent="0.3">
      <c r="A13" s="1" t="s">
        <v>4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43"/>
      <c r="O13" s="41">
        <f>IF(SUM(Income336477[[#This Row],[January]:[December]])&lt;&gt;0,AVERAGEIF(Income336477[[#This Row],[January]:[December]],"&lt;&gt;0"),0)</f>
        <v>0</v>
      </c>
    </row>
    <row r="14" spans="1:33" s="2" customFormat="1" x14ac:dyDescent="0.3">
      <c r="A14" s="1" t="s">
        <v>5</v>
      </c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43"/>
      <c r="O14" s="41">
        <f>IF(SUM(Income336477[[#This Row],[January]:[December]])&lt;&gt;0,AVERAGEIF(Income336477[[#This Row],[January]:[December]],"&lt;&gt;0"),0)</f>
        <v>0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 s="2" customFormat="1" x14ac:dyDescent="0.3">
      <c r="A15" s="27" t="s">
        <v>89</v>
      </c>
      <c r="B15" s="57"/>
      <c r="C15" s="57"/>
      <c r="D15" s="57"/>
      <c r="E15" s="64"/>
      <c r="F15" s="57"/>
      <c r="G15" s="57"/>
      <c r="H15" s="57"/>
      <c r="I15" s="57"/>
      <c r="J15" s="57"/>
      <c r="K15" s="57"/>
      <c r="L15" s="57"/>
      <c r="M15" s="57"/>
      <c r="N15" s="43"/>
      <c r="O15" s="41">
        <f>IF(SUM(Income336477[[#This Row],[January]:[December]])&lt;&gt;0,AVERAGEIF(Income336477[[#This Row],[January]:[December]],"&lt;&gt;0"),0)</f>
        <v>0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 x14ac:dyDescent="0.3">
      <c r="A16" s="1" t="s">
        <v>9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43"/>
      <c r="O16" s="41">
        <f>IF(SUM(Income336477[[#This Row],[January]:[December]])&lt;&gt;0,AVERAGEIF(Income336477[[#This Row],[January]:[December]],"&lt;&gt;0"),0)</f>
        <v>0</v>
      </c>
    </row>
    <row r="17" spans="1:33" x14ac:dyDescent="0.3">
      <c r="A17" s="1" t="s">
        <v>14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43"/>
      <c r="O17" s="41">
        <f>IF(SUM(Income336477[[#This Row],[January]:[December]])&lt;&gt;0,AVERAGEIF(Income336477[[#This Row],[January]:[December]],"&lt;&gt;0"),0)</f>
        <v>0</v>
      </c>
    </row>
    <row r="18" spans="1:33" x14ac:dyDescent="0.3">
      <c r="A18" s="9" t="str">
        <f>"Total " &amp; Income336477[[#Headers],[INCOME]]</f>
        <v>Total INCOME</v>
      </c>
      <c r="B18" s="38">
        <f>SUBTOTAL(9,Income336477[January])</f>
        <v>0</v>
      </c>
      <c r="C18" s="38">
        <f>SUBTOTAL(9,Income336477[February])</f>
        <v>0</v>
      </c>
      <c r="D18" s="38">
        <f>SUBTOTAL(9,Income336477[March])</f>
        <v>0</v>
      </c>
      <c r="E18" s="38">
        <f>SUBTOTAL(9,Income336477[April])</f>
        <v>0</v>
      </c>
      <c r="F18" s="38">
        <f>SUBTOTAL(9,Income336477[May])</f>
        <v>0</v>
      </c>
      <c r="G18" s="38">
        <f>SUBTOTAL(9,Income336477[June])</f>
        <v>0</v>
      </c>
      <c r="H18" s="38">
        <f>SUBTOTAL(9,Income336477[July])</f>
        <v>0</v>
      </c>
      <c r="I18" s="38">
        <f>SUBTOTAL(9,Income336477[August])</f>
        <v>0</v>
      </c>
      <c r="J18" s="38">
        <f>SUBTOTAL(9,Income336477[September])</f>
        <v>0</v>
      </c>
      <c r="K18" s="38">
        <f>SUBTOTAL(9,Income336477[October])</f>
        <v>0</v>
      </c>
      <c r="L18" s="38">
        <f>SUBTOTAL(9,Income336477[November])</f>
        <v>0</v>
      </c>
      <c r="M18" s="38">
        <f>SUBTOTAL(9,Income336477[December])</f>
        <v>0</v>
      </c>
      <c r="N18" s="43"/>
      <c r="O18" s="41">
        <f>IF(SUM(Income336477[[#Totals],[January]:[December]])&lt;&gt;0,AVERAGEIF(Income336477[[#Totals],[January]:[December]],"&lt;&gt;0"),0)</f>
        <v>0</v>
      </c>
    </row>
    <row r="19" spans="1:33" x14ac:dyDescent="0.3">
      <c r="A19" s="9"/>
      <c r="B19" s="7"/>
      <c r="C19" s="7"/>
      <c r="D19" s="7"/>
      <c r="E19" s="7"/>
      <c r="F19" s="7"/>
      <c r="G19" s="7"/>
      <c r="H19" s="7"/>
      <c r="N19" s="43"/>
      <c r="O19" s="41"/>
    </row>
    <row r="20" spans="1:33" ht="16.5" thickBot="1" x14ac:dyDescent="0.35">
      <c r="A20" s="8" t="s">
        <v>11</v>
      </c>
      <c r="B20" s="29" t="s">
        <v>81</v>
      </c>
      <c r="C20" s="29" t="s">
        <v>82</v>
      </c>
      <c r="D20" s="29" t="s">
        <v>83</v>
      </c>
      <c r="E20" s="29" t="s">
        <v>84</v>
      </c>
      <c r="F20" s="29" t="s">
        <v>85</v>
      </c>
      <c r="G20" s="29" t="s">
        <v>71</v>
      </c>
      <c r="H20" s="30" t="s">
        <v>72</v>
      </c>
      <c r="I20" s="30" t="s">
        <v>73</v>
      </c>
      <c r="J20" s="30" t="s">
        <v>74</v>
      </c>
      <c r="K20" s="30" t="s">
        <v>75</v>
      </c>
      <c r="L20" s="30" t="s">
        <v>76</v>
      </c>
      <c r="M20" s="30" t="s">
        <v>77</v>
      </c>
      <c r="N20" s="43"/>
      <c r="O20" s="42" t="s">
        <v>94</v>
      </c>
    </row>
    <row r="21" spans="1:33" x14ac:dyDescent="0.3">
      <c r="A21" s="1" t="s">
        <v>46</v>
      </c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43"/>
      <c r="O21" s="41">
        <f>IF(SUM(HomeExpenses437488[[#This Row],[January]:[December]])&lt;&gt;0,AVERAGEIF(HomeExpenses437488[[#This Row],[January]:[December]],"&lt;&gt;0"),0)</f>
        <v>0</v>
      </c>
    </row>
    <row r="22" spans="1:33" x14ac:dyDescent="0.3">
      <c r="A22" s="1" t="s">
        <v>58</v>
      </c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43"/>
      <c r="O22" s="41">
        <f>IF(SUM(HomeExpenses437488[[#This Row],[January]:[December]])&lt;&gt;0,AVERAGEIF(HomeExpenses437488[[#This Row],[January]:[December]],"&lt;&gt;0"),0)</f>
        <v>0</v>
      </c>
    </row>
    <row r="23" spans="1:33" x14ac:dyDescent="0.3">
      <c r="A23" s="1" t="s">
        <v>12</v>
      </c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43"/>
      <c r="O23" s="41">
        <f>IF(SUM(HomeExpenses437488[[#This Row],[January]:[December]])&lt;&gt;0,AVERAGEIF(HomeExpenses437488[[#This Row],[January]:[December]],"&lt;&gt;0"),0)</f>
        <v>0</v>
      </c>
    </row>
    <row r="24" spans="1:33" s="4" customFormat="1" x14ac:dyDescent="0.3">
      <c r="A24" s="1" t="s">
        <v>45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43"/>
      <c r="O24" s="41">
        <f>IF(SUM(HomeExpenses437488[[#This Row],[January]:[December]])&lt;&gt;0,AVERAGEIF(HomeExpenses437488[[#This Row],[January]:[December]],"&lt;&gt;0"),0)</f>
        <v>0</v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 x14ac:dyDescent="0.3">
      <c r="A25" s="1" t="s">
        <v>44</v>
      </c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43"/>
      <c r="O25" s="41">
        <f>IF(SUM(HomeExpenses437488[[#This Row],[January]:[December]])&lt;&gt;0,AVERAGEIF(HomeExpenses437488[[#This Row],[January]:[December]],"&lt;&gt;0"),0)</f>
        <v>0</v>
      </c>
    </row>
    <row r="26" spans="1:33" x14ac:dyDescent="0.3">
      <c r="A26" s="1" t="s">
        <v>16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43"/>
      <c r="O26" s="41">
        <f>IF(SUM(HomeExpenses437488[[#This Row],[January]:[December]])&lt;&gt;0,AVERAGEIF(HomeExpenses437488[[#This Row],[January]:[December]],"&lt;&gt;0"),0)</f>
        <v>0</v>
      </c>
    </row>
    <row r="27" spans="1:33" x14ac:dyDescent="0.3">
      <c r="A27" s="1" t="s">
        <v>43</v>
      </c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43"/>
      <c r="O27" s="41">
        <f>IF(SUM(HomeExpenses437488[[#This Row],[January]:[December]])&lt;&gt;0,AVERAGEIF(HomeExpenses437488[[#This Row],[January]:[December]],"&lt;&gt;0"),0)</f>
        <v>0</v>
      </c>
    </row>
    <row r="28" spans="1:33" x14ac:dyDescent="0.3">
      <c r="A28" s="1" t="s">
        <v>13</v>
      </c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43"/>
      <c r="O28" s="41">
        <f>IF(SUM(HomeExpenses437488[[#This Row],[January]:[December]])&lt;&gt;0,AVERAGEIF(HomeExpenses437488[[#This Row],[January]:[December]],"&lt;&gt;0"),0)</f>
        <v>0</v>
      </c>
    </row>
    <row r="29" spans="1:33" x14ac:dyDescent="0.3">
      <c r="A29" s="1" t="s">
        <v>42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43"/>
      <c r="O29" s="41">
        <f>IF(SUM(HomeExpenses437488[[#This Row],[January]:[December]])&lt;&gt;0,AVERAGEIF(HomeExpenses437488[[#This Row],[January]:[December]],"&lt;&gt;0"),0)</f>
        <v>0</v>
      </c>
    </row>
    <row r="30" spans="1:33" x14ac:dyDescent="0.3">
      <c r="A30" s="1" t="s">
        <v>41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43"/>
      <c r="O30" s="41">
        <f>IF(SUM(HomeExpenses437488[[#This Row],[January]:[December]])&lt;&gt;0,AVERAGEIF(HomeExpenses437488[[#This Row],[January]:[December]],"&lt;&gt;0"),0)</f>
        <v>0</v>
      </c>
    </row>
    <row r="31" spans="1:33" x14ac:dyDescent="0.3">
      <c r="A31" s="1" t="s">
        <v>59</v>
      </c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43"/>
      <c r="O31" s="41">
        <f>IF(SUM(HomeExpenses437488[[#This Row],[January]:[December]])&lt;&gt;0,AVERAGEIF(HomeExpenses437488[[#This Row],[January]:[December]],"&lt;&gt;0"),0)</f>
        <v>0</v>
      </c>
    </row>
    <row r="32" spans="1:33" x14ac:dyDescent="0.3">
      <c r="A32" s="1" t="s">
        <v>15</v>
      </c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43"/>
      <c r="O32" s="41">
        <f>IF(SUM(HomeExpenses437488[[#This Row],[January]:[December]])&lt;&gt;0,AVERAGEIF(HomeExpenses437488[[#This Row],[January]:[December]],"&lt;&gt;0"),0)</f>
        <v>0</v>
      </c>
    </row>
    <row r="33" spans="1:15" x14ac:dyDescent="0.3">
      <c r="A33" s="1" t="s">
        <v>14</v>
      </c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43"/>
      <c r="O33" s="41">
        <f>IF(SUM(HomeExpenses437488[[#This Row],[January]:[December]])&lt;&gt;0,AVERAGEIF(HomeExpenses437488[[#This Row],[January]:[December]],"&lt;&gt;0"),0)</f>
        <v>0</v>
      </c>
    </row>
    <row r="34" spans="1:15" x14ac:dyDescent="0.3">
      <c r="A34" s="9" t="str">
        <f>"Total " &amp; HomeExpenses437488[[#Headers],[HOME EXPENSES]]</f>
        <v>Total HOME EXPENSES</v>
      </c>
      <c r="B34" s="38">
        <f>SUBTOTAL(9,HomeExpenses437488[January])</f>
        <v>0</v>
      </c>
      <c r="C34" s="38">
        <f>SUBTOTAL(9,HomeExpenses437488[February])</f>
        <v>0</v>
      </c>
      <c r="D34" s="38">
        <f>SUBTOTAL(9,HomeExpenses437488[March])</f>
        <v>0</v>
      </c>
      <c r="E34" s="38">
        <f>SUBTOTAL(9,HomeExpenses437488[April])</f>
        <v>0</v>
      </c>
      <c r="F34" s="38">
        <f>SUBTOTAL(9,HomeExpenses437488[May])</f>
        <v>0</v>
      </c>
      <c r="G34" s="38">
        <f>SUBTOTAL(9,HomeExpenses437488[June])</f>
        <v>0</v>
      </c>
      <c r="H34" s="38">
        <f>SUBTOTAL(9,HomeExpenses437488[July])</f>
        <v>0</v>
      </c>
      <c r="I34" s="38">
        <f>SUBTOTAL(9,HomeExpenses437488[August])</f>
        <v>0</v>
      </c>
      <c r="J34" s="38">
        <f>SUBTOTAL(9,HomeExpenses437488[September])</f>
        <v>0</v>
      </c>
      <c r="K34" s="38">
        <f>SUBTOTAL(9,HomeExpenses437488[October])</f>
        <v>0</v>
      </c>
      <c r="L34" s="38">
        <f>SUBTOTAL(9,HomeExpenses437488[November])</f>
        <v>0</v>
      </c>
      <c r="M34" s="38">
        <f>SUBTOTAL(9,HomeExpenses437488[December])</f>
        <v>0</v>
      </c>
      <c r="N34" s="43"/>
      <c r="O34" s="41">
        <f>IF(SUM(HomeExpenses437488[[#Totals],[January]:[December]])&lt;&gt;0,AVERAGEIF(HomeExpenses437488[[#Totals],[January]:[December]],"&lt;&gt;0"),0)</f>
        <v>0</v>
      </c>
    </row>
    <row r="35" spans="1:15" x14ac:dyDescent="0.3">
      <c r="B35" s="6"/>
      <c r="C35" s="6"/>
      <c r="D35" s="6"/>
      <c r="N35" s="43"/>
      <c r="O35" s="41"/>
    </row>
    <row r="36" spans="1:15" ht="16.5" thickBot="1" x14ac:dyDescent="0.35">
      <c r="A36" s="8" t="s">
        <v>17</v>
      </c>
      <c r="B36" s="29" t="s">
        <v>81</v>
      </c>
      <c r="C36" s="29" t="s">
        <v>82</v>
      </c>
      <c r="D36" s="29" t="s">
        <v>83</v>
      </c>
      <c r="E36" s="29" t="s">
        <v>84</v>
      </c>
      <c r="F36" s="29" t="s">
        <v>85</v>
      </c>
      <c r="G36" s="29" t="s">
        <v>71</v>
      </c>
      <c r="H36" s="30" t="s">
        <v>72</v>
      </c>
      <c r="I36" s="30" t="s">
        <v>73</v>
      </c>
      <c r="J36" s="30" t="s">
        <v>74</v>
      </c>
      <c r="K36" s="30" t="s">
        <v>75</v>
      </c>
      <c r="L36" s="30" t="s">
        <v>76</v>
      </c>
      <c r="M36" s="30" t="s">
        <v>77</v>
      </c>
      <c r="N36" s="43"/>
      <c r="O36" s="42" t="s">
        <v>94</v>
      </c>
    </row>
    <row r="37" spans="1:15" x14ac:dyDescent="0.3">
      <c r="A37" s="1" t="s">
        <v>18</v>
      </c>
      <c r="B37" s="25"/>
      <c r="C37" s="24"/>
      <c r="D37" s="25"/>
      <c r="E37" s="24"/>
      <c r="F37" s="25"/>
      <c r="G37" s="25"/>
      <c r="H37" s="25"/>
      <c r="I37" s="25"/>
      <c r="J37" s="25"/>
      <c r="K37" s="25"/>
      <c r="L37" s="25"/>
      <c r="M37" s="25"/>
      <c r="N37" s="43"/>
      <c r="O37" s="41">
        <f>IF(SUM(Transportation538499[[#This Row],[January]:[December]])&lt;&gt;0,AVERAGEIF(Transportation538499[[#This Row],[January]:[December]],"&lt;&gt;0"),0)</f>
        <v>0</v>
      </c>
    </row>
    <row r="38" spans="1:15" x14ac:dyDescent="0.3">
      <c r="A38" s="1" t="s">
        <v>60</v>
      </c>
      <c r="B38" s="26"/>
      <c r="C38" s="24"/>
      <c r="D38" s="26"/>
      <c r="E38" s="24"/>
      <c r="F38" s="26"/>
      <c r="G38" s="26"/>
      <c r="H38" s="26"/>
      <c r="I38" s="26"/>
      <c r="J38" s="26"/>
      <c r="K38" s="26"/>
      <c r="L38" s="26"/>
      <c r="M38" s="26"/>
      <c r="N38" s="43"/>
      <c r="O38" s="41">
        <f>IF(SUM(Transportation538499[[#This Row],[January]:[December]])&lt;&gt;0,AVERAGEIF(Transportation538499[[#This Row],[January]:[December]],"&lt;&gt;0"),0)</f>
        <v>0</v>
      </c>
    </row>
    <row r="39" spans="1:15" x14ac:dyDescent="0.3">
      <c r="A39" s="1" t="s">
        <v>19</v>
      </c>
      <c r="B39" s="26"/>
      <c r="C39" s="24"/>
      <c r="D39" s="26"/>
      <c r="E39" s="24"/>
      <c r="F39" s="26"/>
      <c r="G39" s="26"/>
      <c r="H39" s="26"/>
      <c r="I39" s="26"/>
      <c r="J39" s="26"/>
      <c r="K39" s="26"/>
      <c r="L39" s="26"/>
      <c r="M39" s="26"/>
      <c r="N39" s="43"/>
      <c r="O39" s="41">
        <f>IF(SUM(Transportation538499[[#This Row],[January]:[December]])&lt;&gt;0,AVERAGEIF(Transportation538499[[#This Row],[January]:[December]],"&lt;&gt;0"),0)</f>
        <v>0</v>
      </c>
    </row>
    <row r="40" spans="1:15" x14ac:dyDescent="0.3">
      <c r="A40" s="1" t="s">
        <v>87</v>
      </c>
      <c r="B40" s="26"/>
      <c r="C40" s="24"/>
      <c r="D40" s="26"/>
      <c r="E40" s="24"/>
      <c r="F40" s="26"/>
      <c r="G40" s="26"/>
      <c r="H40" s="26"/>
      <c r="I40" s="26"/>
      <c r="J40" s="26"/>
      <c r="K40" s="26"/>
      <c r="L40" s="26"/>
      <c r="M40" s="26"/>
      <c r="N40" s="43"/>
      <c r="O40" s="41">
        <f>IF(SUM(Transportation538499[[#This Row],[January]:[December]])&lt;&gt;0,AVERAGEIF(Transportation538499[[#This Row],[January]:[December]],"&lt;&gt;0"),0)</f>
        <v>0</v>
      </c>
    </row>
    <row r="41" spans="1:15" x14ac:dyDescent="0.3">
      <c r="A41" s="1" t="s">
        <v>92</v>
      </c>
      <c r="B41" s="26"/>
      <c r="C41" s="24"/>
      <c r="D41" s="26"/>
      <c r="E41" s="24"/>
      <c r="F41" s="26"/>
      <c r="G41" s="26"/>
      <c r="H41" s="26"/>
      <c r="I41" s="26"/>
      <c r="J41" s="26"/>
      <c r="K41" s="26"/>
      <c r="L41" s="26"/>
      <c r="M41" s="26"/>
      <c r="N41" s="43"/>
      <c r="O41" s="41">
        <f>IF(SUM(Transportation538499[[#This Row],[January]:[December]])&lt;&gt;0,AVERAGEIF(Transportation538499[[#This Row],[January]:[December]],"&lt;&gt;0"),0)</f>
        <v>0</v>
      </c>
    </row>
    <row r="42" spans="1:15" x14ac:dyDescent="0.3">
      <c r="A42" s="1" t="s">
        <v>40</v>
      </c>
      <c r="B42" s="26"/>
      <c r="C42" s="24"/>
      <c r="D42" s="26"/>
      <c r="E42" s="24"/>
      <c r="F42" s="26"/>
      <c r="G42" s="26"/>
      <c r="H42" s="26"/>
      <c r="I42" s="26"/>
      <c r="J42" s="26"/>
      <c r="K42" s="26"/>
      <c r="L42" s="26"/>
      <c r="M42" s="26"/>
      <c r="N42" s="43"/>
      <c r="O42" s="41">
        <f>IF(SUM(Transportation538499[[#This Row],[January]:[December]])&lt;&gt;0,AVERAGEIF(Transportation538499[[#This Row],[January]:[December]],"&lt;&gt;0"),0)</f>
        <v>0</v>
      </c>
    </row>
    <row r="43" spans="1:15" x14ac:dyDescent="0.3">
      <c r="A43" s="1" t="s">
        <v>14</v>
      </c>
      <c r="B43" s="26"/>
      <c r="C43" s="25"/>
      <c r="D43" s="26"/>
      <c r="E43" s="25"/>
      <c r="F43" s="26"/>
      <c r="G43" s="26"/>
      <c r="H43" s="26"/>
      <c r="I43" s="26"/>
      <c r="J43" s="26"/>
      <c r="K43" s="26"/>
      <c r="L43" s="26"/>
      <c r="M43" s="26"/>
      <c r="N43" s="43"/>
      <c r="O43" s="41">
        <f>IF(SUM(Transportation538499[[#This Row],[January]:[December]])&lt;&gt;0,AVERAGEIF(Transportation538499[[#This Row],[January]:[December]],"&lt;&gt;0"),0)</f>
        <v>0</v>
      </c>
    </row>
    <row r="44" spans="1:15" x14ac:dyDescent="0.3">
      <c r="A44" s="9" t="str">
        <f>"Total " &amp; Transportation538499[[#Headers],[TRANSPORTATION]]</f>
        <v>Total TRANSPORTATION</v>
      </c>
      <c r="B44" s="7">
        <f>SUBTOTAL(9,Transportation538499[January])</f>
        <v>0</v>
      </c>
      <c r="C44" s="7">
        <f>SUBTOTAL(9,Transportation538499[February])</f>
        <v>0</v>
      </c>
      <c r="D44" s="7">
        <f>SUBTOTAL(9,Transportation538499[March])</f>
        <v>0</v>
      </c>
      <c r="E44" s="7">
        <f>SUBTOTAL(9,Transportation538499[April])</f>
        <v>0</v>
      </c>
      <c r="F44" s="7">
        <f>SUBTOTAL(9,Transportation538499[May])</f>
        <v>0</v>
      </c>
      <c r="G44" s="7">
        <f>SUBTOTAL(9,Transportation538499[June])</f>
        <v>0</v>
      </c>
      <c r="H44" s="7">
        <f>SUBTOTAL(9,Transportation538499[July])</f>
        <v>0</v>
      </c>
      <c r="I44" s="7">
        <f>SUBTOTAL(9,Transportation538499[August])</f>
        <v>0</v>
      </c>
      <c r="J44" s="7">
        <f>SUBTOTAL(9,Transportation538499[September])</f>
        <v>0</v>
      </c>
      <c r="K44" s="7">
        <f>SUBTOTAL(9,Transportation538499[October])</f>
        <v>0</v>
      </c>
      <c r="L44" s="7">
        <f>SUBTOTAL(9,Transportation538499[November])</f>
        <v>0</v>
      </c>
      <c r="M44" s="7">
        <f>SUBTOTAL(9,Transportation538499[December])</f>
        <v>0</v>
      </c>
      <c r="N44" s="43"/>
      <c r="O44" s="41">
        <f>IF(SUM(Transportation538499[[#Totals],[January]:[December]])&lt;&gt;0,AVERAGEIF(Transportation538499[[#Totals],[January]:[December]],"&lt;&gt;0"),0)</f>
        <v>0</v>
      </c>
    </row>
    <row r="45" spans="1:15" x14ac:dyDescent="0.3">
      <c r="B45" s="6"/>
      <c r="C45" s="6"/>
      <c r="D45" s="6"/>
      <c r="N45" s="43"/>
      <c r="O45" s="41"/>
    </row>
    <row r="46" spans="1:15" ht="16.5" thickBot="1" x14ac:dyDescent="0.35">
      <c r="A46" s="8" t="s">
        <v>20</v>
      </c>
      <c r="B46" s="29" t="s">
        <v>81</v>
      </c>
      <c r="C46" s="29" t="s">
        <v>82</v>
      </c>
      <c r="D46" s="29" t="s">
        <v>83</v>
      </c>
      <c r="E46" s="29" t="s">
        <v>84</v>
      </c>
      <c r="F46" s="29" t="s">
        <v>85</v>
      </c>
      <c r="G46" s="29" t="s">
        <v>71</v>
      </c>
      <c r="H46" s="30" t="s">
        <v>72</v>
      </c>
      <c r="I46" s="30" t="s">
        <v>73</v>
      </c>
      <c r="J46" s="30" t="s">
        <v>74</v>
      </c>
      <c r="K46" s="30" t="s">
        <v>75</v>
      </c>
      <c r="L46" s="30" t="s">
        <v>76</v>
      </c>
      <c r="M46" s="30" t="s">
        <v>77</v>
      </c>
      <c r="N46" s="43"/>
      <c r="O46" s="42" t="s">
        <v>94</v>
      </c>
    </row>
    <row r="47" spans="1:15" x14ac:dyDescent="0.3">
      <c r="A47" s="1" t="s">
        <v>61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43"/>
      <c r="O47" s="41">
        <f>IF(SUM(Health10395011[[#This Row],[January]:[December]])&lt;&gt;0,AVERAGEIF(Health10395011[[#This Row],[January]:[December]],"&lt;&gt;0"),0)</f>
        <v>0</v>
      </c>
    </row>
    <row r="48" spans="1:15" x14ac:dyDescent="0.3">
      <c r="A48" s="1" t="s">
        <v>21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43"/>
      <c r="O48" s="41">
        <f>IF(SUM(Health10395011[[#This Row],[January]:[December]])&lt;&gt;0,AVERAGEIF(Health10395011[[#This Row],[January]:[December]],"&lt;&gt;0"),0)</f>
        <v>0</v>
      </c>
    </row>
    <row r="49" spans="1:15" x14ac:dyDescent="0.3">
      <c r="A49" s="1" t="s">
        <v>22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43"/>
      <c r="O49" s="41">
        <f>IF(SUM(Health10395011[[#This Row],[January]:[December]])&lt;&gt;0,AVERAGEIF(Health10395011[[#This Row],[January]:[December]],"&lt;&gt;0"),0)</f>
        <v>0</v>
      </c>
    </row>
    <row r="50" spans="1:15" x14ac:dyDescent="0.3">
      <c r="A50" s="1" t="s">
        <v>23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43"/>
      <c r="O50" s="41">
        <f>IF(SUM(Health10395011[[#This Row],[January]:[December]])&lt;&gt;0,AVERAGEIF(Health10395011[[#This Row],[January]:[December]],"&lt;&gt;0"),0)</f>
        <v>0</v>
      </c>
    </row>
    <row r="51" spans="1:15" x14ac:dyDescent="0.3">
      <c r="A51" s="1" t="s">
        <v>62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43"/>
      <c r="O51" s="41">
        <f>IF(SUM(Health10395011[[#This Row],[January]:[December]])&lt;&gt;0,AVERAGEIF(Health10395011[[#This Row],[January]:[December]],"&lt;&gt;0"),0)</f>
        <v>0</v>
      </c>
    </row>
    <row r="52" spans="1:15" x14ac:dyDescent="0.3">
      <c r="A52" s="1" t="s">
        <v>63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43"/>
      <c r="O52" s="41">
        <f>IF(SUM(Health10395011[[#This Row],[January]:[December]])&lt;&gt;0,AVERAGEIF(Health10395011[[#This Row],[January]:[December]],"&lt;&gt;0"),0)</f>
        <v>0</v>
      </c>
    </row>
    <row r="53" spans="1:15" x14ac:dyDescent="0.3">
      <c r="A53" s="1" t="s">
        <v>14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43"/>
      <c r="O53" s="41">
        <f>IF(SUM(Health10395011[[#This Row],[January]:[December]])&lt;&gt;0,AVERAGEIF(Health10395011[[#This Row],[January]:[December]],"&lt;&gt;0"),0)</f>
        <v>0</v>
      </c>
    </row>
    <row r="54" spans="1:15" x14ac:dyDescent="0.3">
      <c r="A54" s="9" t="str">
        <f>"Total " &amp; Health10395011[[#Headers],[HEALTH]]</f>
        <v>Total HEALTH</v>
      </c>
      <c r="B54" s="7">
        <f>SUBTOTAL(9,Health10395011[January])</f>
        <v>0</v>
      </c>
      <c r="C54" s="7">
        <f>SUBTOTAL(9,Health10395011[February])</f>
        <v>0</v>
      </c>
      <c r="D54" s="7">
        <f>SUBTOTAL(9,Health10395011[March])</f>
        <v>0</v>
      </c>
      <c r="E54" s="7">
        <f>SUBTOTAL(9,Health10395011[April])</f>
        <v>0</v>
      </c>
      <c r="F54" s="7">
        <f>SUBTOTAL(9,Health10395011[May])</f>
        <v>0</v>
      </c>
      <c r="G54" s="7">
        <f>SUBTOTAL(9,Health10395011[June])</f>
        <v>0</v>
      </c>
      <c r="H54" s="7">
        <f>SUBTOTAL(9,Health10395011[July])</f>
        <v>0</v>
      </c>
      <c r="I54" s="7">
        <f>SUBTOTAL(9,Health10395011[August])</f>
        <v>0</v>
      </c>
      <c r="J54" s="7">
        <f>SUBTOTAL(9,Health10395011[September])</f>
        <v>0</v>
      </c>
      <c r="K54" s="7">
        <f>SUBTOTAL(9,Health10395011[October])</f>
        <v>0</v>
      </c>
      <c r="L54" s="7">
        <f>SUBTOTAL(9,Health10395011[November])</f>
        <v>0</v>
      </c>
      <c r="M54" s="7">
        <f>SUBTOTAL(9,Health10395011[December])</f>
        <v>0</v>
      </c>
      <c r="N54" s="43"/>
      <c r="O54" s="41">
        <f>IF(SUM(Health10395011[[#Totals],[January]:[December]])&lt;&gt;0,AVERAGEIF(Health10395011[[#Totals],[January]:[December]],"&lt;&gt;0"),0)</f>
        <v>0</v>
      </c>
    </row>
    <row r="55" spans="1:15" x14ac:dyDescent="0.3">
      <c r="B55" s="6"/>
      <c r="C55" s="6"/>
      <c r="D55" s="6"/>
      <c r="N55" s="43"/>
      <c r="O55" s="41"/>
    </row>
    <row r="56" spans="1:15" ht="16.5" thickBot="1" x14ac:dyDescent="0.35">
      <c r="A56" s="8" t="s">
        <v>53</v>
      </c>
      <c r="B56" s="29" t="s">
        <v>81</v>
      </c>
      <c r="C56" s="29" t="s">
        <v>82</v>
      </c>
      <c r="D56" s="29" t="s">
        <v>83</v>
      </c>
      <c r="E56" s="29" t="s">
        <v>84</v>
      </c>
      <c r="F56" s="29" t="s">
        <v>85</v>
      </c>
      <c r="G56" s="29" t="s">
        <v>71</v>
      </c>
      <c r="H56" s="30" t="s">
        <v>72</v>
      </c>
      <c r="I56" s="30" t="s">
        <v>73</v>
      </c>
      <c r="J56" s="30" t="s">
        <v>74</v>
      </c>
      <c r="K56" s="30" t="s">
        <v>75</v>
      </c>
      <c r="L56" s="30" t="s">
        <v>76</v>
      </c>
      <c r="M56" s="30" t="s">
        <v>77</v>
      </c>
      <c r="N56" s="43"/>
      <c r="O56" s="42" t="s">
        <v>94</v>
      </c>
    </row>
    <row r="57" spans="1:15" x14ac:dyDescent="0.3">
      <c r="A57" s="1" t="s">
        <v>8</v>
      </c>
      <c r="B57" s="26"/>
      <c r="C57" s="24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43"/>
      <c r="O57" s="41">
        <f>IF(SUM(Gifts12405115[[#This Row],[January]:[December]])&lt;&gt;0,AVERAGEIF(Gifts12405115[[#This Row],[January]:[December]],"&lt;&gt;0"),0)</f>
        <v>0</v>
      </c>
    </row>
    <row r="58" spans="1:15" x14ac:dyDescent="0.3">
      <c r="A58" s="1" t="s">
        <v>30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43"/>
      <c r="O58" s="41">
        <f>IF(SUM(Gifts12405115[[#This Row],[January]:[December]])&lt;&gt;0,AVERAGEIF(Gifts12405115[[#This Row],[January]:[December]],"&lt;&gt;0"),0)</f>
        <v>0</v>
      </c>
    </row>
    <row r="59" spans="1:15" x14ac:dyDescent="0.3">
      <c r="A59" s="1" t="s">
        <v>14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43"/>
      <c r="O59" s="41">
        <f>IF(SUM(Gifts12405115[[#This Row],[January]:[December]])&lt;&gt;0,AVERAGEIF(Gifts12405115[[#This Row],[January]:[December]],"&lt;&gt;0"),0)</f>
        <v>0</v>
      </c>
    </row>
    <row r="60" spans="1:15" x14ac:dyDescent="0.3">
      <c r="A60" s="9" t="str">
        <f>"Total " &amp; Gifts12405115[[#Headers],[CHARITY/GIFTS]]</f>
        <v>Total CHARITY/GIFTS</v>
      </c>
      <c r="B60" s="7">
        <f>SUBTOTAL(9,Gifts12405115[January])</f>
        <v>0</v>
      </c>
      <c r="C60" s="7">
        <f>SUBTOTAL(9,Gifts12405115[February])</f>
        <v>0</v>
      </c>
      <c r="D60" s="7">
        <f>SUBTOTAL(9,Gifts12405115[March])</f>
        <v>0</v>
      </c>
      <c r="E60" s="7">
        <f>SUBTOTAL(9,Gifts12405115[April])</f>
        <v>0</v>
      </c>
      <c r="F60" s="7">
        <f>SUBTOTAL(9,Gifts12405115[May])</f>
        <v>0</v>
      </c>
      <c r="G60" s="7">
        <f>SUBTOTAL(9,Gifts12405115[June])</f>
        <v>0</v>
      </c>
      <c r="H60" s="7">
        <f>SUBTOTAL(9,Gifts12405115[July])</f>
        <v>0</v>
      </c>
      <c r="I60" s="7">
        <f>SUBTOTAL(9,Gifts12405115[August])</f>
        <v>0</v>
      </c>
      <c r="J60" s="7">
        <f>SUBTOTAL(9,Gifts12405115[September])</f>
        <v>0</v>
      </c>
      <c r="K60" s="7">
        <f>SUBTOTAL(9,Gifts12405115[October])</f>
        <v>0</v>
      </c>
      <c r="L60" s="7">
        <f>SUBTOTAL(9,Gifts12405115[November])</f>
        <v>0</v>
      </c>
      <c r="M60" s="7">
        <f>SUBTOTAL(9,Gifts12405115[December])</f>
        <v>0</v>
      </c>
      <c r="N60" s="43"/>
      <c r="O60" s="41">
        <f>IF(SUM(Gifts12405115[[#Totals],[January]:[December]])&lt;&gt;0,AVERAGEIF(Gifts12405115[[#Totals],[January]:[December]],"&lt;&gt;0"),0)</f>
        <v>0</v>
      </c>
    </row>
    <row r="61" spans="1:15" x14ac:dyDescent="0.3">
      <c r="B61" s="6"/>
      <c r="C61" s="6"/>
      <c r="D61" s="6"/>
      <c r="N61" s="43"/>
      <c r="O61" s="41"/>
    </row>
    <row r="62" spans="1:15" ht="16.5" thickBot="1" x14ac:dyDescent="0.35">
      <c r="A62" s="8" t="s">
        <v>28</v>
      </c>
      <c r="B62" s="29" t="s">
        <v>81</v>
      </c>
      <c r="C62" s="29" t="s">
        <v>82</v>
      </c>
      <c r="D62" s="29" t="s">
        <v>83</v>
      </c>
      <c r="E62" s="29" t="s">
        <v>84</v>
      </c>
      <c r="F62" s="29" t="s">
        <v>85</v>
      </c>
      <c r="G62" s="29" t="s">
        <v>71</v>
      </c>
      <c r="H62" s="30" t="s">
        <v>72</v>
      </c>
      <c r="I62" s="30" t="s">
        <v>73</v>
      </c>
      <c r="J62" s="30" t="s">
        <v>74</v>
      </c>
      <c r="K62" s="30" t="s">
        <v>75</v>
      </c>
      <c r="L62" s="30" t="s">
        <v>76</v>
      </c>
      <c r="M62" s="30" t="s">
        <v>77</v>
      </c>
      <c r="N62" s="43"/>
      <c r="O62" s="42" t="s">
        <v>94</v>
      </c>
    </row>
    <row r="63" spans="1:15" x14ac:dyDescent="0.3">
      <c r="A63" s="1" t="s">
        <v>7</v>
      </c>
      <c r="B63" s="24"/>
      <c r="C63" s="24"/>
      <c r="D63" s="24"/>
      <c r="E63" s="24"/>
      <c r="F63" s="24"/>
      <c r="G63" s="25"/>
      <c r="H63" s="25"/>
      <c r="I63" s="25"/>
      <c r="J63" s="25"/>
      <c r="K63" s="25"/>
      <c r="L63" s="25"/>
      <c r="M63" s="25"/>
      <c r="N63" s="43"/>
      <c r="O63" s="41">
        <f>IF(SUM(DailyLiving13415216[[#This Row],[January]:[December]])&lt;&gt;0,AVERAGEIF(DailyLiving13415216[[#This Row],[January]:[December]],"&lt;&gt;0"),0)</f>
        <v>0</v>
      </c>
    </row>
    <row r="64" spans="1:15" x14ac:dyDescent="0.3">
      <c r="A64" s="1" t="s">
        <v>29</v>
      </c>
      <c r="B64" s="24"/>
      <c r="C64" s="24"/>
      <c r="D64" s="24"/>
      <c r="E64" s="24"/>
      <c r="F64" s="24"/>
      <c r="G64" s="26"/>
      <c r="H64" s="26"/>
      <c r="I64" s="26"/>
      <c r="J64" s="26"/>
      <c r="K64" s="26"/>
      <c r="L64" s="26"/>
      <c r="M64" s="26"/>
      <c r="N64" s="43"/>
      <c r="O64" s="41">
        <f>IF(SUM(DailyLiving13415216[[#This Row],[January]:[December]])&lt;&gt;0,AVERAGEIF(DailyLiving13415216[[#This Row],[January]:[December]],"&lt;&gt;0"),0)</f>
        <v>0</v>
      </c>
    </row>
    <row r="65" spans="1:17" x14ac:dyDescent="0.3">
      <c r="A65" s="1" t="s">
        <v>6</v>
      </c>
      <c r="B65" s="24"/>
      <c r="C65" s="24"/>
      <c r="D65" s="24"/>
      <c r="E65" s="24"/>
      <c r="F65" s="24"/>
      <c r="G65" s="39"/>
      <c r="H65" s="39"/>
      <c r="I65" s="26"/>
      <c r="J65" s="26"/>
      <c r="K65" s="26"/>
      <c r="L65" s="26"/>
      <c r="M65" s="26"/>
      <c r="N65" s="43"/>
      <c r="O65" s="41">
        <f>IF(SUM(DailyLiving13415216[[#This Row],[January]:[December]])&lt;&gt;0,AVERAGEIF(DailyLiving13415216[[#This Row],[January]:[December]],"&lt;&gt;0"),0)</f>
        <v>0</v>
      </c>
    </row>
    <row r="66" spans="1:17" x14ac:dyDescent="0.3">
      <c r="A66" s="1" t="s">
        <v>64</v>
      </c>
      <c r="B66" s="24"/>
      <c r="C66" s="24"/>
      <c r="D66" s="24"/>
      <c r="E66" s="24"/>
      <c r="F66" s="24"/>
      <c r="G66" s="39"/>
      <c r="H66" s="39"/>
      <c r="I66" s="26"/>
      <c r="J66" s="26"/>
      <c r="K66" s="26"/>
      <c r="L66" s="26"/>
      <c r="M66" s="26"/>
      <c r="N66" s="43"/>
      <c r="O66" s="41">
        <f>IF(SUM(DailyLiving13415216[[#This Row],[January]:[December]])&lt;&gt;0,AVERAGEIF(DailyLiving13415216[[#This Row],[January]:[December]],"&lt;&gt;0"),0)</f>
        <v>0</v>
      </c>
    </row>
    <row r="67" spans="1:17" x14ac:dyDescent="0.3">
      <c r="A67" s="1" t="s">
        <v>65</v>
      </c>
      <c r="B67" s="24"/>
      <c r="C67" s="24"/>
      <c r="D67" s="24"/>
      <c r="E67" s="24"/>
      <c r="F67" s="24"/>
      <c r="G67" s="24"/>
      <c r="H67" s="24"/>
      <c r="I67" s="26"/>
      <c r="J67" s="26"/>
      <c r="K67" s="26"/>
      <c r="L67" s="26"/>
      <c r="M67" s="26"/>
      <c r="N67" s="43"/>
      <c r="O67" s="41">
        <f>IF(SUM(DailyLiving13415216[[#This Row],[January]:[December]])&lt;&gt;0,AVERAGEIF(DailyLiving13415216[[#This Row],[January]:[December]],"&lt;&gt;0"),0)</f>
        <v>0</v>
      </c>
    </row>
    <row r="68" spans="1:17" x14ac:dyDescent="0.3">
      <c r="A68" s="27" t="s">
        <v>93</v>
      </c>
      <c r="B68" s="24"/>
      <c r="C68" s="24"/>
      <c r="D68" s="24"/>
      <c r="E68" s="24"/>
      <c r="F68" s="24"/>
      <c r="G68" s="24"/>
      <c r="H68" s="24"/>
      <c r="I68" s="26"/>
      <c r="J68" s="26"/>
      <c r="K68" s="26"/>
      <c r="L68" s="26"/>
      <c r="M68" s="26"/>
      <c r="N68" s="43"/>
      <c r="O68" s="41">
        <f>IF(SUM(DailyLiving13415216[[#This Row],[January]:[December]])&lt;&gt;0,AVERAGEIF(DailyLiving13415216[[#This Row],[January]:[December]],"&lt;&gt;0"),0)</f>
        <v>0</v>
      </c>
    </row>
    <row r="69" spans="1:17" x14ac:dyDescent="0.3">
      <c r="A69" s="1" t="s">
        <v>47</v>
      </c>
      <c r="B69" s="24"/>
      <c r="C69" s="24"/>
      <c r="D69" s="24"/>
      <c r="E69" s="24"/>
      <c r="F69" s="24"/>
      <c r="G69" s="26"/>
      <c r="H69" s="26"/>
      <c r="I69" s="26"/>
      <c r="J69" s="26"/>
      <c r="K69" s="26"/>
      <c r="L69" s="26"/>
      <c r="M69" s="26"/>
      <c r="N69" s="43"/>
      <c r="O69" s="41">
        <f>IF(SUM(DailyLiving13415216[[#This Row],[January]:[December]])&lt;&gt;0,AVERAGEIF(DailyLiving13415216[[#This Row],[January]:[December]],"&lt;&gt;0"),0)</f>
        <v>0</v>
      </c>
    </row>
    <row r="70" spans="1:17" x14ac:dyDescent="0.3">
      <c r="A70" s="1" t="s">
        <v>48</v>
      </c>
      <c r="B70" s="24"/>
      <c r="C70" s="24"/>
      <c r="D70" s="24"/>
      <c r="E70" s="24"/>
      <c r="F70" s="24"/>
      <c r="G70" s="26"/>
      <c r="H70" s="26"/>
      <c r="I70" s="26"/>
      <c r="J70" s="26"/>
      <c r="K70" s="26"/>
      <c r="L70" s="26"/>
      <c r="M70" s="26"/>
      <c r="N70" s="43"/>
      <c r="O70" s="41">
        <f>IF(SUM(DailyLiving13415216[[#This Row],[January]:[December]])&lt;&gt;0,AVERAGEIF(DailyLiving13415216[[#This Row],[January]:[December]],"&lt;&gt;0"),0)</f>
        <v>0</v>
      </c>
    </row>
    <row r="71" spans="1:17" x14ac:dyDescent="0.3">
      <c r="A71" s="1" t="s">
        <v>66</v>
      </c>
      <c r="B71" s="24"/>
      <c r="C71" s="24"/>
      <c r="D71" s="24"/>
      <c r="E71" s="24"/>
      <c r="F71" s="24"/>
      <c r="G71" s="26"/>
      <c r="H71" s="26"/>
      <c r="I71" s="26"/>
      <c r="J71" s="26"/>
      <c r="K71" s="26"/>
      <c r="L71" s="26"/>
      <c r="M71" s="26"/>
      <c r="N71" s="43"/>
      <c r="O71" s="41">
        <f>IF(SUM(DailyLiving13415216[[#This Row],[January]:[December]])&lt;&gt;0,AVERAGEIF(DailyLiving13415216[[#This Row],[January]:[December]],"&lt;&gt;0"),0)</f>
        <v>0</v>
      </c>
    </row>
    <row r="72" spans="1:17" x14ac:dyDescent="0.3">
      <c r="A72" s="1" t="s">
        <v>14</v>
      </c>
      <c r="B72" s="25"/>
      <c r="C72" s="25"/>
      <c r="D72" s="25"/>
      <c r="E72" s="25"/>
      <c r="F72" s="25"/>
      <c r="G72" s="26"/>
      <c r="H72" s="26"/>
      <c r="I72" s="26"/>
      <c r="J72" s="26"/>
      <c r="K72" s="26"/>
      <c r="L72" s="26"/>
      <c r="M72" s="26"/>
      <c r="N72" s="43"/>
      <c r="O72" s="41">
        <f>IF(SUM(DailyLiving13415216[[#This Row],[January]:[December]])&lt;&gt;0,AVERAGEIF(DailyLiving13415216[[#This Row],[January]:[December]],"&lt;&gt;0"),0)</f>
        <v>0</v>
      </c>
    </row>
    <row r="73" spans="1:17" x14ac:dyDescent="0.3">
      <c r="A73" s="9" t="str">
        <f>"Total " &amp; DailyLiving13415216[[#Headers],[DAILY LIVING]]</f>
        <v>Total DAILY LIVING</v>
      </c>
      <c r="B73" s="7">
        <f>SUBTOTAL(9,DailyLiving13415216[January])</f>
        <v>0</v>
      </c>
      <c r="C73" s="7">
        <f>SUBTOTAL(9,DailyLiving13415216[February])</f>
        <v>0</v>
      </c>
      <c r="D73" s="7">
        <f>SUBTOTAL(9,DailyLiving13415216[March])</f>
        <v>0</v>
      </c>
      <c r="E73" s="7">
        <f>SUBTOTAL(9,DailyLiving13415216[April])</f>
        <v>0</v>
      </c>
      <c r="F73" s="7">
        <f>SUBTOTAL(9,DailyLiving13415216[May])</f>
        <v>0</v>
      </c>
      <c r="G73" s="7">
        <f>SUBTOTAL(9,DailyLiving13415216[June])</f>
        <v>0</v>
      </c>
      <c r="H73" s="7">
        <f>SUBTOTAL(9,DailyLiving13415216[July])</f>
        <v>0</v>
      </c>
      <c r="I73" s="7">
        <f>SUBTOTAL(9,DailyLiving13415216[August])</f>
        <v>0</v>
      </c>
      <c r="J73" s="7">
        <f>SUBTOTAL(9,DailyLiving13415216[September])</f>
        <v>0</v>
      </c>
      <c r="K73" s="7">
        <f>SUBTOTAL(9,DailyLiving13415216[October])</f>
        <v>0</v>
      </c>
      <c r="L73" s="7">
        <f>SUBTOTAL(9,DailyLiving13415216[November])</f>
        <v>0</v>
      </c>
      <c r="M73" s="7">
        <f>SUBTOTAL(9,DailyLiving13415216[December])</f>
        <v>0</v>
      </c>
      <c r="N73" s="43"/>
      <c r="O73" s="41">
        <f>IF(SUM(DailyLiving13415216[[#Totals],[January]:[December]])&lt;&gt;0,AVERAGEIF(DailyLiving13415216[[#Totals],[January]:[December]],"&lt;&gt;0"),0)</f>
        <v>0</v>
      </c>
    </row>
    <row r="74" spans="1:17" x14ac:dyDescent="0.3">
      <c r="B74" s="6"/>
      <c r="C74" s="6"/>
      <c r="D74" s="6"/>
      <c r="E74" s="5"/>
      <c r="F74" s="5"/>
      <c r="N74" s="43"/>
      <c r="O74" s="41"/>
    </row>
    <row r="75" spans="1:17" ht="16.5" thickBot="1" x14ac:dyDescent="0.35">
      <c r="A75" s="8" t="s">
        <v>24</v>
      </c>
      <c r="B75" s="29" t="s">
        <v>81</v>
      </c>
      <c r="C75" s="29" t="s">
        <v>82</v>
      </c>
      <c r="D75" s="29" t="s">
        <v>83</v>
      </c>
      <c r="E75" s="29" t="s">
        <v>84</v>
      </c>
      <c r="F75" s="29" t="s">
        <v>85</v>
      </c>
      <c r="G75" s="29" t="s">
        <v>71</v>
      </c>
      <c r="H75" s="30" t="s">
        <v>72</v>
      </c>
      <c r="I75" s="30" t="s">
        <v>73</v>
      </c>
      <c r="J75" s="30" t="s">
        <v>74</v>
      </c>
      <c r="K75" s="30" t="s">
        <v>75</v>
      </c>
      <c r="L75" s="30" t="s">
        <v>76</v>
      </c>
      <c r="M75" s="30" t="s">
        <v>77</v>
      </c>
      <c r="N75" s="43"/>
      <c r="O75" s="42" t="s">
        <v>94</v>
      </c>
    </row>
    <row r="76" spans="1:17" x14ac:dyDescent="0.3">
      <c r="A76" s="1" t="s">
        <v>0</v>
      </c>
      <c r="B76" s="25"/>
      <c r="C76" s="24"/>
      <c r="D76" s="24"/>
      <c r="E76" s="24"/>
      <c r="F76" s="24"/>
      <c r="G76" s="25"/>
      <c r="H76" s="25"/>
      <c r="I76" s="25"/>
      <c r="J76" s="25"/>
      <c r="K76" s="25"/>
      <c r="L76" s="25"/>
      <c r="M76" s="25"/>
      <c r="N76" s="43"/>
      <c r="O76" s="41">
        <f>IF(SUM(Entertainment14425317[[#This Row],[January]:[December]])&lt;&gt;0,AVERAGEIF(Entertainment14425317[[#This Row],[January]:[December]],"&lt;&gt;0"),0)</f>
        <v>0</v>
      </c>
      <c r="Q76" s="45"/>
    </row>
    <row r="77" spans="1:17" x14ac:dyDescent="0.3">
      <c r="A77" s="1" t="s">
        <v>51</v>
      </c>
      <c r="B77" s="26"/>
      <c r="C77" s="24"/>
      <c r="D77" s="24"/>
      <c r="E77" s="24"/>
      <c r="F77" s="24"/>
      <c r="G77" s="26"/>
      <c r="H77" s="26"/>
      <c r="I77" s="26"/>
      <c r="J77" s="26"/>
      <c r="K77" s="26"/>
      <c r="L77" s="26"/>
      <c r="M77" s="26"/>
      <c r="N77" s="43"/>
      <c r="O77" s="41">
        <f>IF(SUM(Entertainment14425317[[#This Row],[January]:[December]])&lt;&gt;0,AVERAGEIF(Entertainment14425317[[#This Row],[January]:[December]],"&lt;&gt;0"),0)</f>
        <v>0</v>
      </c>
    </row>
    <row r="78" spans="1:17" x14ac:dyDescent="0.3">
      <c r="A78" s="1" t="s">
        <v>49</v>
      </c>
      <c r="B78" s="26"/>
      <c r="C78" s="24"/>
      <c r="D78" s="24"/>
      <c r="E78" s="24"/>
      <c r="F78" s="24"/>
      <c r="G78" s="26"/>
      <c r="H78" s="26"/>
      <c r="I78" s="26"/>
      <c r="J78" s="26"/>
      <c r="K78" s="26"/>
      <c r="L78" s="26"/>
      <c r="M78" s="26"/>
      <c r="N78" s="43"/>
      <c r="O78" s="41">
        <f>IF(SUM(Entertainment14425317[[#This Row],[January]:[December]])&lt;&gt;0,AVERAGEIF(Entertainment14425317[[#This Row],[January]:[December]],"&lt;&gt;0"),0)</f>
        <v>0</v>
      </c>
    </row>
    <row r="79" spans="1:17" x14ac:dyDescent="0.3">
      <c r="A79" s="1" t="s">
        <v>50</v>
      </c>
      <c r="B79" s="26"/>
      <c r="C79" s="24"/>
      <c r="D79" s="24"/>
      <c r="E79" s="24"/>
      <c r="F79" s="24"/>
      <c r="G79" s="26"/>
      <c r="H79" s="26"/>
      <c r="I79" s="26"/>
      <c r="J79" s="26"/>
      <c r="K79" s="26"/>
      <c r="L79" s="26"/>
      <c r="M79" s="26"/>
      <c r="N79" s="43"/>
      <c r="O79" s="41">
        <f>IF(SUM(Entertainment14425317[[#This Row],[January]:[December]])&lt;&gt;0,AVERAGEIF(Entertainment14425317[[#This Row],[January]:[December]],"&lt;&gt;0"),0)</f>
        <v>0</v>
      </c>
    </row>
    <row r="80" spans="1:17" x14ac:dyDescent="0.3">
      <c r="A80" s="1" t="s">
        <v>25</v>
      </c>
      <c r="B80" s="26"/>
      <c r="C80" s="24"/>
      <c r="D80" s="24"/>
      <c r="E80" s="24"/>
      <c r="F80" s="24"/>
      <c r="G80" s="26"/>
      <c r="H80" s="26"/>
      <c r="I80" s="26"/>
      <c r="J80" s="26"/>
      <c r="K80" s="26"/>
      <c r="L80" s="26"/>
      <c r="M80" s="26"/>
      <c r="N80" s="43"/>
      <c r="O80" s="41">
        <f>IF(SUM(Entertainment14425317[[#This Row],[January]:[December]])&lt;&gt;0,AVERAGEIF(Entertainment14425317[[#This Row],[January]:[December]],"&lt;&gt;0"),0)</f>
        <v>0</v>
      </c>
    </row>
    <row r="81" spans="1:15" x14ac:dyDescent="0.3">
      <c r="A81" s="27" t="s">
        <v>80</v>
      </c>
      <c r="B81" s="26"/>
      <c r="C81" s="24"/>
      <c r="D81" s="24"/>
      <c r="E81" s="24"/>
      <c r="F81" s="24"/>
      <c r="G81" s="26"/>
      <c r="H81" s="26"/>
      <c r="I81" s="26"/>
      <c r="J81" s="26"/>
      <c r="K81" s="26"/>
      <c r="L81" s="26"/>
      <c r="M81" s="26"/>
      <c r="N81" s="43"/>
      <c r="O81" s="41">
        <f>IF(SUM(Entertainment14425317[[#This Row],[January]:[December]])&lt;&gt;0,AVERAGEIF(Entertainment14425317[[#This Row],[January]:[December]],"&lt;&gt;0"),0)</f>
        <v>0</v>
      </c>
    </row>
    <row r="82" spans="1:15" x14ac:dyDescent="0.3">
      <c r="A82" s="27" t="s">
        <v>86</v>
      </c>
      <c r="B82" s="26"/>
      <c r="C82" s="24"/>
      <c r="D82" s="24"/>
      <c r="E82" s="24"/>
      <c r="F82" s="24"/>
      <c r="G82" s="39"/>
      <c r="H82" s="39"/>
      <c r="I82" s="39"/>
      <c r="J82" s="39"/>
      <c r="K82" s="39"/>
      <c r="L82" s="39"/>
      <c r="M82" s="39"/>
      <c r="N82" s="43"/>
      <c r="O82" s="41">
        <f>IF(SUM(Entertainment14425317[[#This Row],[January]:[December]])&lt;&gt;0,AVERAGEIF(Entertainment14425317[[#This Row],[January]:[December]],"&lt;&gt;0"),0)</f>
        <v>0</v>
      </c>
    </row>
    <row r="83" spans="1:15" x14ac:dyDescent="0.3">
      <c r="A83" s="27" t="s">
        <v>91</v>
      </c>
      <c r="B83" s="26"/>
      <c r="C83" s="24"/>
      <c r="D83" s="24"/>
      <c r="E83" s="24"/>
      <c r="F83" s="24"/>
      <c r="G83" s="39"/>
      <c r="H83" s="39"/>
      <c r="I83" s="39"/>
      <c r="J83" s="39"/>
      <c r="K83" s="39"/>
      <c r="L83" s="39"/>
      <c r="M83" s="39"/>
      <c r="N83" s="43"/>
      <c r="O83" s="41">
        <f>IF(SUM(Entertainment14425317[[#This Row],[January]:[December]])&lt;&gt;0,AVERAGEIF(Entertainment14425317[[#This Row],[January]:[December]],"&lt;&gt;0"),0)</f>
        <v>0</v>
      </c>
    </row>
    <row r="84" spans="1:15" x14ac:dyDescent="0.3">
      <c r="A84" s="1" t="s">
        <v>27</v>
      </c>
      <c r="B84" s="26"/>
      <c r="C84" s="24"/>
      <c r="D84" s="24"/>
      <c r="E84" s="24"/>
      <c r="F84" s="24"/>
      <c r="G84" s="26"/>
      <c r="H84" s="26"/>
      <c r="I84" s="26"/>
      <c r="J84" s="26"/>
      <c r="K84" s="26"/>
      <c r="L84" s="26"/>
      <c r="M84" s="26"/>
      <c r="N84" s="43"/>
      <c r="O84" s="41">
        <f>IF(SUM(Entertainment14425317[[#This Row],[January]:[December]])&lt;&gt;0,AVERAGEIF(Entertainment14425317[[#This Row],[January]:[December]],"&lt;&gt;0"),0)</f>
        <v>0</v>
      </c>
    </row>
    <row r="85" spans="1:15" x14ac:dyDescent="0.3">
      <c r="A85" s="1" t="s">
        <v>26</v>
      </c>
      <c r="B85" s="26"/>
      <c r="C85" s="24"/>
      <c r="D85" s="24"/>
      <c r="E85" s="24"/>
      <c r="F85" s="24"/>
      <c r="G85" s="26"/>
      <c r="H85" s="26"/>
      <c r="I85" s="26"/>
      <c r="J85" s="26"/>
      <c r="K85" s="26"/>
      <c r="L85" s="26"/>
      <c r="M85" s="26"/>
      <c r="N85" s="43"/>
      <c r="O85" s="41">
        <f>IF(SUM(Entertainment14425317[[#This Row],[January]:[December]])&lt;&gt;0,AVERAGEIF(Entertainment14425317[[#This Row],[January]:[December]],"&lt;&gt;0"),0)</f>
        <v>0</v>
      </c>
    </row>
    <row r="86" spans="1:15" x14ac:dyDescent="0.3">
      <c r="A86" s="1" t="s">
        <v>52</v>
      </c>
      <c r="B86" s="26"/>
      <c r="C86" s="24"/>
      <c r="D86" s="24"/>
      <c r="E86" s="24"/>
      <c r="F86" s="24"/>
      <c r="G86" s="26"/>
      <c r="H86" s="26"/>
      <c r="I86" s="26"/>
      <c r="J86" s="26"/>
      <c r="K86" s="26"/>
      <c r="L86" s="26"/>
      <c r="M86" s="26"/>
      <c r="N86" s="43"/>
      <c r="O86" s="41">
        <f>IF(SUM(Entertainment14425317[[#This Row],[January]:[December]])&lt;&gt;0,AVERAGEIF(Entertainment14425317[[#This Row],[January]:[December]],"&lt;&gt;0"),0)</f>
        <v>0</v>
      </c>
    </row>
    <row r="87" spans="1:15" x14ac:dyDescent="0.3">
      <c r="A87" s="1" t="s">
        <v>67</v>
      </c>
      <c r="B87" s="26"/>
      <c r="C87" s="24"/>
      <c r="D87" s="24"/>
      <c r="E87" s="24"/>
      <c r="F87" s="24"/>
      <c r="G87" s="26"/>
      <c r="H87" s="26"/>
      <c r="I87" s="26"/>
      <c r="J87" s="26"/>
      <c r="K87" s="26"/>
      <c r="L87" s="26"/>
      <c r="M87" s="26"/>
      <c r="N87" s="43"/>
      <c r="O87" s="41">
        <f>IF(SUM(Entertainment14425317[[#This Row],[January]:[December]])&lt;&gt;0,AVERAGEIF(Entertainment14425317[[#This Row],[January]:[December]],"&lt;&gt;0"),0)</f>
        <v>0</v>
      </c>
    </row>
    <row r="88" spans="1:15" x14ac:dyDescent="0.3">
      <c r="A88" s="1" t="s">
        <v>14</v>
      </c>
      <c r="B88" s="26"/>
      <c r="C88" s="25"/>
      <c r="D88" s="25"/>
      <c r="E88" s="25"/>
      <c r="F88" s="25"/>
      <c r="G88" s="26"/>
      <c r="H88" s="26"/>
      <c r="I88" s="26"/>
      <c r="J88" s="26"/>
      <c r="K88" s="26"/>
      <c r="L88" s="26"/>
      <c r="M88" s="26"/>
      <c r="N88" s="43"/>
      <c r="O88" s="41">
        <f>IF(SUM(Entertainment14425317[[#This Row],[January]:[December]])&lt;&gt;0,AVERAGEIF(Entertainment14425317[[#This Row],[January]:[December]],"&lt;&gt;0"),0)</f>
        <v>0</v>
      </c>
    </row>
    <row r="89" spans="1:15" x14ac:dyDescent="0.3">
      <c r="A89" s="9" t="s">
        <v>79</v>
      </c>
      <c r="B89" s="7">
        <f>SUBTOTAL(9,Entertainment14425317[January])</f>
        <v>0</v>
      </c>
      <c r="C89" s="7">
        <f>SUBTOTAL(9,Entertainment14425317[February])</f>
        <v>0</v>
      </c>
      <c r="D89" s="7">
        <f>SUBTOTAL(9,Entertainment14425317[March])</f>
        <v>0</v>
      </c>
      <c r="E89" s="7">
        <f>SUBTOTAL(9,Entertainment14425317[April])</f>
        <v>0</v>
      </c>
      <c r="F89" s="7">
        <f>SUBTOTAL(9,Entertainment14425317[May])</f>
        <v>0</v>
      </c>
      <c r="G89" s="7">
        <f>SUBTOTAL(9,Entertainment14425317[June])</f>
        <v>0</v>
      </c>
      <c r="H89" s="7">
        <f>SUBTOTAL(9,Entertainment14425317[July])</f>
        <v>0</v>
      </c>
      <c r="I89" s="7">
        <f>SUBTOTAL(9,Entertainment14425317[August])</f>
        <v>0</v>
      </c>
      <c r="J89" s="7">
        <f>SUBTOTAL(9,Entertainment14425317[September])</f>
        <v>0</v>
      </c>
      <c r="K89" s="7">
        <f>SUBTOTAL(9,Entertainment14425317[October])</f>
        <v>0</v>
      </c>
      <c r="L89" s="7">
        <f>SUBTOTAL(9,Entertainment14425317[November])</f>
        <v>0</v>
      </c>
      <c r="M89" s="7">
        <f>SUBTOTAL(9,Entertainment14425317[December])</f>
        <v>0</v>
      </c>
      <c r="N89" s="43"/>
      <c r="O89" s="41">
        <f>IF(SUM(Entertainment14425317[[#Totals],[January]:[December]])&lt;&gt;0,AVERAGEIF(Entertainment14425317[[#Totals],[January]:[December]],"&lt;&gt;0"),0)</f>
        <v>0</v>
      </c>
    </row>
    <row r="90" spans="1:15" x14ac:dyDescent="0.3">
      <c r="B90" s="6"/>
      <c r="C90" s="6"/>
      <c r="D90" s="6"/>
      <c r="E90" s="5"/>
      <c r="N90" s="43"/>
      <c r="O90" s="41"/>
    </row>
    <row r="91" spans="1:15" ht="16.5" thickBot="1" x14ac:dyDescent="0.35">
      <c r="A91" s="8" t="s">
        <v>33</v>
      </c>
      <c r="B91" s="29" t="s">
        <v>81</v>
      </c>
      <c r="C91" s="29" t="s">
        <v>82</v>
      </c>
      <c r="D91" s="29" t="s">
        <v>83</v>
      </c>
      <c r="E91" s="29" t="s">
        <v>84</v>
      </c>
      <c r="F91" s="29" t="s">
        <v>85</v>
      </c>
      <c r="G91" s="29" t="s">
        <v>71</v>
      </c>
      <c r="H91" s="30" t="s">
        <v>72</v>
      </c>
      <c r="I91" s="30" t="s">
        <v>73</v>
      </c>
      <c r="J91" s="30" t="s">
        <v>74</v>
      </c>
      <c r="K91" s="30" t="s">
        <v>75</v>
      </c>
      <c r="L91" s="30" t="s">
        <v>76</v>
      </c>
      <c r="M91" s="30" t="s">
        <v>77</v>
      </c>
      <c r="N91" s="43"/>
      <c r="O91" s="42" t="s">
        <v>94</v>
      </c>
    </row>
    <row r="92" spans="1:15" x14ac:dyDescent="0.3">
      <c r="A92" s="1" t="s">
        <v>34</v>
      </c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43"/>
      <c r="O92" s="41">
        <f>IF(SUM(Savings21435418[[#This Row],[January]:[December]])&lt;&gt;0,AVERAGEIF(Savings21435418[[#This Row],[January]:[December]],"&lt;&gt;0"),0)</f>
        <v>0</v>
      </c>
    </row>
    <row r="93" spans="1:15" x14ac:dyDescent="0.3">
      <c r="A93" s="1" t="s">
        <v>32</v>
      </c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43"/>
      <c r="O93" s="41">
        <f>IF(SUM(Savings21435418[[#This Row],[January]:[December]])&lt;&gt;0,AVERAGEIF(Savings21435418[[#This Row],[January]:[December]],"&lt;&gt;0"),0)</f>
        <v>0</v>
      </c>
    </row>
    <row r="94" spans="1:15" x14ac:dyDescent="0.3">
      <c r="A94" s="1" t="s">
        <v>68</v>
      </c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43"/>
      <c r="O94" s="41">
        <f>IF(SUM(Savings21435418[[#This Row],[January]:[December]])&lt;&gt;0,AVERAGEIF(Savings21435418[[#This Row],[January]:[December]],"&lt;&gt;0"),0)</f>
        <v>0</v>
      </c>
    </row>
    <row r="95" spans="1:15" x14ac:dyDescent="0.3">
      <c r="A95" s="1" t="s">
        <v>14</v>
      </c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43"/>
      <c r="O95" s="41">
        <f>IF(SUM(Savings21435418[[#This Row],[January]:[December]])&lt;&gt;0,AVERAGEIF(Savings21435418[[#This Row],[January]:[December]],"&lt;&gt;0"),0)</f>
        <v>0</v>
      </c>
    </row>
    <row r="96" spans="1:15" x14ac:dyDescent="0.3">
      <c r="A96" s="9" t="str">
        <f>"Total " &amp; Savings21435418[[#Headers],[SAVINGS]]</f>
        <v>Total SAVINGS</v>
      </c>
      <c r="B96" s="7">
        <f>SUBTOTAL(9,Savings21435418[January])</f>
        <v>0</v>
      </c>
      <c r="C96" s="7">
        <f>SUBTOTAL(9,Savings21435418[February])</f>
        <v>0</v>
      </c>
      <c r="D96" s="7">
        <f>SUBTOTAL(9,Savings21435418[March])</f>
        <v>0</v>
      </c>
      <c r="E96" s="7">
        <f>SUBTOTAL(9,Savings21435418[April])</f>
        <v>0</v>
      </c>
      <c r="F96" s="7">
        <f>SUBTOTAL(9,Savings21435418[May])</f>
        <v>0</v>
      </c>
      <c r="G96" s="7">
        <f>SUBTOTAL(9,Savings21435418[June])</f>
        <v>0</v>
      </c>
      <c r="H96" s="7">
        <f>SUBTOTAL(9,Savings21435418[July])</f>
        <v>0</v>
      </c>
      <c r="I96" s="7">
        <f>SUBTOTAL(9,Savings21435418[August])</f>
        <v>0</v>
      </c>
      <c r="J96" s="7">
        <f>SUBTOTAL(9,Savings21435418[September])</f>
        <v>0</v>
      </c>
      <c r="K96" s="7">
        <f>SUBTOTAL(9,Savings21435418[October])</f>
        <v>0</v>
      </c>
      <c r="L96" s="7">
        <f>SUBTOTAL(9,Savings21435418[November])</f>
        <v>0</v>
      </c>
      <c r="M96" s="7">
        <f>SUBTOTAL(9,Savings21435418[December])</f>
        <v>0</v>
      </c>
      <c r="N96" s="43"/>
      <c r="O96" s="41">
        <f>IF(SUM(Savings21435418[[#Totals],[January]:[December]])&lt;&gt;0,AVERAGEIF(Savings21435418[[#Totals],[January]:[December]],"&lt;&gt;0"),0)</f>
        <v>0</v>
      </c>
    </row>
    <row r="97" spans="1:15" x14ac:dyDescent="0.3">
      <c r="B97" s="6"/>
      <c r="C97" s="6"/>
      <c r="D97" s="6"/>
      <c r="N97" s="43"/>
      <c r="O97" s="41"/>
    </row>
    <row r="98" spans="1:15" ht="16.5" thickBot="1" x14ac:dyDescent="0.35">
      <c r="A98" s="8" t="s">
        <v>35</v>
      </c>
      <c r="B98" s="29" t="s">
        <v>81</v>
      </c>
      <c r="C98" s="29" t="s">
        <v>82</v>
      </c>
      <c r="D98" s="29" t="s">
        <v>83</v>
      </c>
      <c r="E98" s="29" t="s">
        <v>84</v>
      </c>
      <c r="F98" s="29" t="s">
        <v>85</v>
      </c>
      <c r="G98" s="29" t="s">
        <v>71</v>
      </c>
      <c r="H98" s="30" t="s">
        <v>72</v>
      </c>
      <c r="I98" s="30" t="s">
        <v>73</v>
      </c>
      <c r="J98" s="30" t="s">
        <v>74</v>
      </c>
      <c r="K98" s="30" t="s">
        <v>75</v>
      </c>
      <c r="L98" s="30" t="s">
        <v>76</v>
      </c>
      <c r="M98" s="30" t="s">
        <v>77</v>
      </c>
      <c r="N98" s="43"/>
      <c r="O98" s="42" t="s">
        <v>94</v>
      </c>
    </row>
    <row r="99" spans="1:15" x14ac:dyDescent="0.3">
      <c r="A99" s="1" t="s">
        <v>36</v>
      </c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43"/>
      <c r="O99" s="41">
        <f>IF(SUM(Obligations22445519[[#This Row],[January]:[December]])&lt;&gt;0,AVERAGEIF(Obligations22445519[[#This Row],[January]:[December]],"&lt;&gt;0"),0)</f>
        <v>0</v>
      </c>
    </row>
    <row r="100" spans="1:15" x14ac:dyDescent="0.3">
      <c r="A100" s="1" t="s">
        <v>37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43"/>
      <c r="O100" s="41">
        <f>IF(SUM(Obligations22445519[[#This Row],[January]:[December]])&lt;&gt;0,AVERAGEIF(Obligations22445519[[#This Row],[January]:[December]],"&lt;&gt;0"),0)</f>
        <v>0</v>
      </c>
    </row>
    <row r="101" spans="1:15" x14ac:dyDescent="0.3">
      <c r="A101" s="1" t="s">
        <v>69</v>
      </c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43"/>
      <c r="O101" s="41">
        <f>IF(SUM(Obligations22445519[[#This Row],[January]:[December]])&lt;&gt;0,AVERAGEIF(Obligations22445519[[#This Row],[January]:[December]],"&lt;&gt;0"),0)</f>
        <v>0</v>
      </c>
    </row>
    <row r="102" spans="1:15" x14ac:dyDescent="0.3">
      <c r="A102" s="1" t="s">
        <v>38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43"/>
      <c r="O102" s="41">
        <f>IF(SUM(Obligations22445519[[#This Row],[January]:[December]])&lt;&gt;0,AVERAGEIF(Obligations22445519[[#This Row],[January]:[December]],"&lt;&gt;0"),0)</f>
        <v>0</v>
      </c>
    </row>
    <row r="103" spans="1:15" x14ac:dyDescent="0.3">
      <c r="A103" s="1" t="s">
        <v>39</v>
      </c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43"/>
      <c r="O103" s="41">
        <f>IF(SUM(Obligations22445519[[#This Row],[January]:[December]])&lt;&gt;0,AVERAGEIF(Obligations22445519[[#This Row],[January]:[December]],"&lt;&gt;0"),0)</f>
        <v>0</v>
      </c>
    </row>
    <row r="104" spans="1:15" x14ac:dyDescent="0.3">
      <c r="A104" s="1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43"/>
      <c r="O104" s="41">
        <f>IF(SUM(Obligations22445519[[#This Row],[January]:[December]])&lt;&gt;0,AVERAGEIF(Obligations22445519[[#This Row],[January]:[December]],"&lt;&gt;0"),0)</f>
        <v>0</v>
      </c>
    </row>
    <row r="105" spans="1:15" x14ac:dyDescent="0.3">
      <c r="A105" s="9" t="str">
        <f>"Total " &amp; Obligations22445519[[#Headers],[OBLIGATIONS]]</f>
        <v>Total OBLIGATIONS</v>
      </c>
      <c r="B105" s="7">
        <f>SUBTOTAL(9,Obligations22445519[January])</f>
        <v>0</v>
      </c>
      <c r="C105" s="7">
        <f>SUBTOTAL(9,Obligations22445519[February])</f>
        <v>0</v>
      </c>
      <c r="D105" s="7">
        <f>SUBTOTAL(9,Obligations22445519[March])</f>
        <v>0</v>
      </c>
      <c r="E105" s="7">
        <f>SUBTOTAL(9,Obligations22445519[April])</f>
        <v>0</v>
      </c>
      <c r="F105" s="7">
        <f>SUBTOTAL(9,Obligations22445519[May])</f>
        <v>0</v>
      </c>
      <c r="G105" s="7">
        <f>SUBTOTAL(9,Obligations22445519[June])</f>
        <v>0</v>
      </c>
      <c r="H105" s="7">
        <f>SUBTOTAL(9,Obligations22445519[July])</f>
        <v>0</v>
      </c>
      <c r="I105" s="7">
        <f>SUBTOTAL(9,Obligations22445519[August])</f>
        <v>0</v>
      </c>
      <c r="J105" s="7">
        <f>SUBTOTAL(9,Obligations22445519[September])</f>
        <v>0</v>
      </c>
      <c r="K105" s="7">
        <f>SUBTOTAL(9,Obligations22445519[October])</f>
        <v>0</v>
      </c>
      <c r="L105" s="7">
        <f>SUBTOTAL(9,Obligations22445519[November])</f>
        <v>0</v>
      </c>
      <c r="M105" s="7">
        <f>SUBTOTAL(9,Obligations22445519[December])</f>
        <v>0</v>
      </c>
      <c r="N105" s="43"/>
      <c r="O105" s="41">
        <f>IF(SUM(Obligations22445519[[#Totals],[January]:[December]])&lt;&gt;0,AVERAGEIF(Obligations22445519[[#Totals],[January]:[December]],"&lt;&gt;0"),0)</f>
        <v>0</v>
      </c>
    </row>
    <row r="106" spans="1:15" x14ac:dyDescent="0.3">
      <c r="B106" s="6"/>
      <c r="C106" s="6"/>
      <c r="D106" s="6"/>
      <c r="N106" s="43"/>
      <c r="O106" s="41"/>
    </row>
    <row r="107" spans="1:15" ht="16.5" thickBot="1" x14ac:dyDescent="0.35">
      <c r="A107" s="8" t="s">
        <v>10</v>
      </c>
      <c r="B107" s="29" t="s">
        <v>81</v>
      </c>
      <c r="C107" s="29" t="s">
        <v>82</v>
      </c>
      <c r="D107" s="29" t="s">
        <v>83</v>
      </c>
      <c r="E107" s="29" t="s">
        <v>84</v>
      </c>
      <c r="F107" s="29" t="s">
        <v>85</v>
      </c>
      <c r="G107" s="29" t="s">
        <v>71</v>
      </c>
      <c r="H107" s="30" t="s">
        <v>72</v>
      </c>
      <c r="I107" s="30" t="s">
        <v>73</v>
      </c>
      <c r="J107" s="30" t="s">
        <v>74</v>
      </c>
      <c r="K107" s="30" t="s">
        <v>75</v>
      </c>
      <c r="L107" s="30" t="s">
        <v>76</v>
      </c>
      <c r="M107" s="30" t="s">
        <v>77</v>
      </c>
      <c r="N107" s="43"/>
      <c r="O107" s="42" t="s">
        <v>94</v>
      </c>
    </row>
    <row r="108" spans="1:15" x14ac:dyDescent="0.3">
      <c r="A108" s="1" t="s">
        <v>31</v>
      </c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43"/>
      <c r="O108" s="41">
        <f>IF(SUM(Miscellaneous23455620[[#This Row],[January]:[December]])&lt;&gt;0,AVERAGEIF(Miscellaneous23455620[[#This Row],[January]:[December]],"&lt;&gt;0"),0)</f>
        <v>0</v>
      </c>
    </row>
    <row r="109" spans="1:15" ht="16.5" thickBot="1" x14ac:dyDescent="0.35">
      <c r="A109" s="1" t="s">
        <v>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43"/>
      <c r="O109" s="41">
        <f>IF(SUM(Miscellaneous23455620[[#This Row],[January]:[December]])&lt;&gt;0,AVERAGEIF(Miscellaneous23455620[[#This Row],[January]:[December]],"&lt;&gt;0"),0)</f>
        <v>0</v>
      </c>
    </row>
    <row r="110" spans="1:15" ht="16.5" thickTop="1" x14ac:dyDescent="0.3">
      <c r="A110" s="9" t="str">
        <f>"Total " &amp; Miscellaneous23455620[[#Headers],[MISCELLANEOUS]]</f>
        <v>Total MISCELLANEOUS</v>
      </c>
      <c r="B110" s="28">
        <f>SUBTOTAL(9,Miscellaneous23455620[January])</f>
        <v>0</v>
      </c>
      <c r="C110" s="28">
        <f>SUBTOTAL(9,Miscellaneous23455620[February])</f>
        <v>0</v>
      </c>
      <c r="D110" s="28">
        <f>SUBTOTAL(9,Miscellaneous23455620[March])</f>
        <v>0</v>
      </c>
      <c r="E110" s="28">
        <f>SUBTOTAL(9,Miscellaneous23455620[April])</f>
        <v>0</v>
      </c>
      <c r="F110" s="28">
        <f>SUBTOTAL(9,Miscellaneous23455620[May])</f>
        <v>0</v>
      </c>
      <c r="G110" s="28">
        <f>SUBTOTAL(9,Miscellaneous23455620[June])</f>
        <v>0</v>
      </c>
      <c r="H110" s="28">
        <f>SUBTOTAL(9,Miscellaneous23455620[July])</f>
        <v>0</v>
      </c>
      <c r="I110" s="28">
        <f>SUBTOTAL(9,Miscellaneous23455620[August])</f>
        <v>0</v>
      </c>
      <c r="J110" s="28">
        <f>SUBTOTAL(9,Miscellaneous23455620[September])</f>
        <v>0</v>
      </c>
      <c r="K110" s="28">
        <f>SUBTOTAL(9,Miscellaneous23455620[October])</f>
        <v>0</v>
      </c>
      <c r="L110" s="28">
        <f>SUBTOTAL(9,Miscellaneous23455620[November])</f>
        <v>0</v>
      </c>
      <c r="M110" s="28">
        <f>SUBTOTAL(9,Miscellaneous23455620[December])</f>
        <v>0</v>
      </c>
      <c r="N110" s="43"/>
      <c r="O110" s="41">
        <f>IF(SUM(Miscellaneous23455620[[#Totals],[January]:[December]])&lt;&gt;0,AVERAGEIF(Miscellaneous23455620[[#Totals],[January]:[December]],"&lt;&gt;0"),0)</f>
        <v>0</v>
      </c>
    </row>
    <row r="113" spans="6:6" x14ac:dyDescent="0.3">
      <c r="F113" s="5"/>
    </row>
    <row r="114" spans="6:6" x14ac:dyDescent="0.3">
      <c r="F114" s="5"/>
    </row>
    <row r="115" spans="6:6" x14ac:dyDescent="0.3">
      <c r="F115" s="5"/>
    </row>
    <row r="116" spans="6:6" x14ac:dyDescent="0.3">
      <c r="F116" s="5"/>
    </row>
    <row r="117" spans="6:6" x14ac:dyDescent="0.3">
      <c r="F117" s="5"/>
    </row>
    <row r="118" spans="6:6" x14ac:dyDescent="0.3">
      <c r="F118" s="5"/>
    </row>
    <row r="119" spans="6:6" x14ac:dyDescent="0.3">
      <c r="F119" s="5"/>
    </row>
    <row r="122" spans="6:6" x14ac:dyDescent="0.3">
      <c r="F122" s="5"/>
    </row>
    <row r="123" spans="6:6" x14ac:dyDescent="0.3">
      <c r="F123" s="5"/>
    </row>
    <row r="124" spans="6:6" x14ac:dyDescent="0.3">
      <c r="F124" s="5"/>
    </row>
    <row r="125" spans="6:6" x14ac:dyDescent="0.3">
      <c r="F125" s="5"/>
    </row>
    <row r="126" spans="6:6" x14ac:dyDescent="0.3">
      <c r="F126" s="5"/>
    </row>
    <row r="127" spans="6:6" x14ac:dyDescent="0.3">
      <c r="F127" s="5"/>
    </row>
    <row r="128" spans="6:6" x14ac:dyDescent="0.3">
      <c r="F128" s="5"/>
    </row>
    <row r="133" spans="5:5" x14ac:dyDescent="0.3">
      <c r="E133" s="5"/>
    </row>
    <row r="134" spans="5:5" x14ac:dyDescent="0.3">
      <c r="E134" s="5"/>
    </row>
    <row r="135" spans="5:5" x14ac:dyDescent="0.3">
      <c r="E135" s="5"/>
    </row>
    <row r="136" spans="5:5" x14ac:dyDescent="0.3">
      <c r="E136" s="5"/>
    </row>
    <row r="137" spans="5:5" x14ac:dyDescent="0.3">
      <c r="E137" s="5"/>
    </row>
    <row r="138" spans="5:5" x14ac:dyDescent="0.3">
      <c r="E138" s="5"/>
    </row>
    <row r="139" spans="5:5" x14ac:dyDescent="0.3">
      <c r="E139" s="5"/>
    </row>
    <row r="142" spans="5:5" x14ac:dyDescent="0.3">
      <c r="E142" s="5"/>
    </row>
    <row r="143" spans="5:5" x14ac:dyDescent="0.3">
      <c r="E143" s="5"/>
    </row>
    <row r="144" spans="5:5" x14ac:dyDescent="0.3">
      <c r="E144" s="5"/>
    </row>
    <row r="145" spans="5:5" x14ac:dyDescent="0.3">
      <c r="E145" s="5"/>
    </row>
    <row r="146" spans="5:5" x14ac:dyDescent="0.3">
      <c r="E146" s="5"/>
    </row>
    <row r="147" spans="5:5" x14ac:dyDescent="0.3">
      <c r="E147" s="5"/>
    </row>
    <row r="148" spans="5:5" x14ac:dyDescent="0.3">
      <c r="E148" s="5"/>
    </row>
  </sheetData>
  <mergeCells count="1">
    <mergeCell ref="H2:I2"/>
  </mergeCells>
  <conditionalFormatting sqref="N4:N8">
    <cfRule type="cellIs" dxfId="318" priority="6" operator="lessThan">
      <formula>0</formula>
    </cfRule>
  </conditionalFormatting>
  <conditionalFormatting sqref="B7:M8">
    <cfRule type="cellIs" dxfId="317" priority="5" operator="lessThan">
      <formula>0</formula>
    </cfRule>
  </conditionalFormatting>
  <conditionalFormatting sqref="B44:M44">
    <cfRule type="cellIs" dxfId="316" priority="3" operator="greaterThan">
      <formula>$O$44</formula>
    </cfRule>
  </conditionalFormatting>
  <conditionalFormatting sqref="B18:M18">
    <cfRule type="cellIs" dxfId="315" priority="4" operator="greaterThan">
      <formula>$O$18</formula>
    </cfRule>
  </conditionalFormatting>
  <conditionalFormatting sqref="B73:M73">
    <cfRule type="cellIs" dxfId="314" priority="2" operator="greaterThan">
      <formula>$O$73</formula>
    </cfRule>
  </conditionalFormatting>
  <conditionalFormatting sqref="B89:M89">
    <cfRule type="cellIs" dxfId="313" priority="1" operator="greaterThan">
      <formula>$O$89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333375</xdr:colOff>
                    <xdr:row>1</xdr:row>
                    <xdr:rowOff>180975</xdr:rowOff>
                  </from>
                  <to>
                    <xdr:col>6</xdr:col>
                    <xdr:colOff>219075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333375</xdr:colOff>
                    <xdr:row>1</xdr:row>
                    <xdr:rowOff>180975</xdr:rowOff>
                  </from>
                  <to>
                    <xdr:col>6</xdr:col>
                    <xdr:colOff>219075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1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customUI/_rels/customUI.xml.rels><?xml version="1.0" encoding="UTF-8" standalone="yes"?>
<Relationships xmlns="http://schemas.openxmlformats.org/package/2006/relationships"><Relationship Id="vertex42_logo" Type="http://schemas.openxmlformats.org/officeDocument/2006/relationships/image" Target="images/vertex42_logo0.png"/></Relationships>
</file>

<file path=customUI/_rels/customUI14.xml.rels><?xml version="1.0" encoding="UTF-8" standalone="yes"?>
<Relationships xmlns="http://schemas.openxmlformats.org/package/2006/relationships"><Relationship Id="vertex42_logo" Type="http://schemas.openxmlformats.org/officeDocument/2006/relationships/image" Target="images/vertex42_logo.png"/><Relationship Id="personal-monthly-budget_180" Type="http://schemas.openxmlformats.org/officeDocument/2006/relationships/image" Target="images/personal-monthly-budget_180.png"/></Relationships>
</file>

<file path=customUI/customUI.xml><?xml version="1.0" encoding="utf-8"?>
<!-- File created by www.vertex42.com (c) Vertex42 LLC. All rights reserved. -->
<customUI xmlns="http://schemas.microsoft.com/office/2006/01/customui">
</customUI>
</file>

<file path=customUI/customUI14.xml><?xml version="1.0" encoding="utf-8"?>
<!-- File created by www.vertex42.com (c) Vertex42 LLC -->
<customUI xmlns="http://schemas.microsoft.com/office/2009/07/customui" loadImage="LoadImageFromThisWorkbook">
  <backstage>
    <tab id="a1" label="About Vertex42" columnWidthPercent="40">
      <firstColumn>
        <group id="g_topLogo">
          <topItems>
            <layoutContainer id="c_topLogo">
              <hyperlink id="link_image" label="Click here to visit Vertex42.com" target="http://www.vertex42.com/?ref=bsimg" image="vertex42_logo" screentip="Visit Vertex42.com"/>
            </layoutContainer>
          </topItems>
        </group>
        <group id="g_about" label="About Vertex42" helperText="Vertex42.com provides professionally designed spreadsheet and document templates for business, education and home use.">
          <topItems>
            <hyperlink id="link_about" label="Click here to visit Vertex42.com" target="http://www.vertex42.com/?ref=bsxml"/>
            <labelControl id="spacer_below_link" label=" "/>
          </topItems>
        </group>
        <group id="g_resources" label="More Templates by Vertex42.com">
          <topItems>
            <layoutContainer id="resources_1" layoutChildren="vertical">
              <hyperlink id="link_resource_1" label="Templates for Excel" target="http://www.vertex42.com/ExcelTemplates/?ref=bsres"/>
              <hyperlink id="link_resource_2" label="Templates for Word" target="http://www.vertex42.com/WordTemplates/?ref=bsres"/>
              <hyperlink id="link_resource_3" label="Calendar Templates" target="http://www.vertex42.com/calendars/?ref=bsres"/>
              <hyperlink id="link_resource_4" label="Financial Calculators" target="http://www.vertex42.com/Calculators/?ref=bsres"/>
              <hyperlink id="link_resource_5" label="Template Gallery Add-in" target="http://www.vertex42.com/apps/?ref=bsres"/>
            </layoutContainer>
          </topItems>
        </group>
      </firstColumn>
      <secondColumn>
        <group id="g_description" label="Personal Monthly Budget" helperText="A monthly budget worksheet with categories for an individual person.">
          <topItems>
            <labelControl id="spacer1" label=" "/>
            <imageControl id="template_thumbnail" image="personal-monthly-budget_180"/>
            <labelControl id="spacer_below_image" label=" "/>
          </topItems>
        </group>
        <group id="g_terms" label="Template Details">
          <topItems>
            <layoutContainer id="info_author" layoutChildren="horizontal">
              <labelControl id="lab_author" label="Author:" alignLabel="left"/>
              <labelControl id="lab_author_value" label="Vertex42.com" alignLabel="left"/>
            </layoutContainer>
            <layoutContainer id="info_copyright" layoutChildren="horizontal">
              <labelControl id="lab_copyright" label="Copyright:"/>
              <labelControl id="lab_copyright_value" label="© 2014 Vertex42 LLC"/>
            </layoutContainer>
            <layoutContainer id="info_info" layoutChildren="vertical">
              <hyperlink id="link_info" label="Template Info Page" target="http://www.vertex42.com/ExcelTemplates/personal-monthly-budget.html?ref=bsinfo"/>
            </layoutContainer>
            <labelControl id="spacer_below_details" label=" "/>
          </topItems>
        </group>
        <group id="g_details" label="Terms of Use" helperText="This spreadsheet, including all worksheets and associated content, is considered a copyrighted work. Please review the license agreement on the template info page to learn how you may or may not use this template.">
</group>
      </second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72CB8-8F41-4DB5-8CDC-2920F1A562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2023</vt:lpstr>
      <vt:lpstr>Log</vt:lpstr>
      <vt:lpstr>Help</vt:lpstr>
      <vt:lpstr>Master Blank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Personal Monthly Budget</dc:title>
  <dc:creator>scott.prouty@keysight.com</dc:creator>
  <dc:description>(c) 2008-2014 Vertex42 LLC. All Rights Reserved.</dc:description>
  <cp:lastModifiedBy>Nikolai Korsakov</cp:lastModifiedBy>
  <cp:lastPrinted>2014-04-03T17:08:47Z</cp:lastPrinted>
  <dcterms:created xsi:type="dcterms:W3CDTF">2007-10-28T01:07:07Z</dcterms:created>
  <dcterms:modified xsi:type="dcterms:W3CDTF">2023-04-27T04:44:15Z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2008-2014 Vertex42 LLC</vt:lpwstr>
  </property>
  <property fmtid="{D5CDD505-2E9C-101B-9397-08002B2CF9AE}" pid="3" name="Source">
    <vt:lpwstr>https://www.vertex42.com/ExcelTemplates/personal-monthly-budget.html</vt:lpwstr>
  </property>
  <property fmtid="{D5CDD505-2E9C-101B-9397-08002B2CF9AE}" pid="4" name="Version">
    <vt:lpwstr>1.1.2</vt:lpwstr>
  </property>
</Properties>
</file>